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https://d.docs.live.net/bd4428830306c10d/Documents/GitHub/DASA-Design/CSR-SMS-DA-in-ArchiSoft/assets/tbl/"/>
    </mc:Choice>
  </mc:AlternateContent>
  <xr:revisionPtr revIDLastSave="961" documentId="8_{8BC242A2-9D94-4DA7-B94F-E35DE9D1B520}" xr6:coauthVersionLast="47" xr6:coauthVersionMax="47" xr10:uidLastSave="{6F03CDDB-90BC-4715-B00D-2435389C9334}"/>
  <bookViews>
    <workbookView xWindow="-93" yWindow="-93" windowWidth="25786" windowHeight="15466" tabRatio="800" firstSheet="13" activeTab="15" xr2:uid="{D17E6A37-0BDA-4AD0-A677-3ED0B223D7A0}"/>
  </bookViews>
  <sheets>
    <sheet name="01 - Taylor C&amp;C Taxonomy" sheetId="1" r:id="rId1"/>
    <sheet name="Excel2LaTeX" sheetId="3" state="hidden" r:id="rId2"/>
    <sheet name="03A - Tasks" sheetId="4" r:id="rId3"/>
    <sheet name="03B - Decisions" sheetId="5" r:id="rId4"/>
    <sheet name="03C - SLR Data Objects" sheetId="7" r:id="rId5"/>
    <sheet name="03D - Sources" sheetId="6" r:id="rId6"/>
    <sheet name="03E - Search String" sheetId="2" r:id="rId7"/>
    <sheet name="03F - Map Categories" sheetId="14" r:id="rId8"/>
    <sheet name="04A - Query Stats" sheetId="10" r:id="rId9"/>
    <sheet name="04B - Filter Count" sheetId="16" r:id="rId10"/>
    <sheet name="04C - PS QF Score" sheetId="15" r:id="rId11"/>
    <sheet name="04D - PS Profile" sheetId="17" r:id="rId12"/>
    <sheet name="04E - PS Topics" sheetId="19" r:id="rId13"/>
    <sheet name="04F - PS Categories" sheetId="20" r:id="rId14"/>
    <sheet name="04G - PS Summary" sheetId="21" r:id="rId15"/>
    <sheet name="09A - PS Details" sheetId="18"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17" l="1"/>
  <c r="H11" i="17"/>
  <c r="F11" i="17"/>
  <c r="E11" i="17"/>
  <c r="I10" i="17"/>
  <c r="H10" i="17"/>
  <c r="F10" i="17"/>
  <c r="E10" i="17"/>
  <c r="I9" i="17"/>
  <c r="H9" i="17"/>
  <c r="F9" i="17"/>
  <c r="E9" i="17"/>
  <c r="G8" i="17"/>
  <c r="G9" i="17" s="1"/>
  <c r="G7" i="17"/>
  <c r="G6" i="17"/>
  <c r="G5" i="17"/>
  <c r="G10" i="17" s="1"/>
  <c r="G4" i="17"/>
  <c r="G3" i="17"/>
  <c r="G11" i="17" s="1"/>
  <c r="L10" i="15"/>
  <c r="M10" i="15" s="1"/>
  <c r="L9" i="15"/>
  <c r="M9" i="15" s="1"/>
  <c r="L8" i="15"/>
  <c r="M8" i="15" s="1"/>
  <c r="L7" i="15"/>
  <c r="M7" i="15" s="1"/>
  <c r="L6" i="15"/>
  <c r="M6" i="15" s="1"/>
  <c r="L5" i="15"/>
  <c r="M5" i="15" s="1"/>
  <c r="L4" i="15"/>
  <c r="M4" i="15" s="1"/>
  <c r="L3" i="15"/>
  <c r="M3" i="15" s="1"/>
  <c r="D18" i="10"/>
  <c r="C18" i="10"/>
  <c r="D9" i="10"/>
  <c r="C9" i="10"/>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tc={78321BB6-58A9-4466-A568-92480B60BF52}</author>
    <author>tc={0B324706-E827-4EC5-954D-1028E7727263}</author>
    <author>tc={4B081152-02F6-4290-AFEA-9A43E5D189D6}</author>
    <author>tc={271B2DCC-C136-4378-B9BD-F7ADBA970FEA}</author>
    <author>tc={94E0DABD-0A5A-47D4-99D9-BA87E8C315FD}</author>
    <author>tc={C4983806-F9D8-4A7F-A575-B848BE661639}</author>
    <author>tc={C32A48E9-C0FF-41E5-9EB5-603BB9312721}</author>
    <author>tc={D042ABAB-3FBE-4BCD-9F29-53832B6CAA03}</author>
    <author>tc={7411CCED-9C7D-40A1-AA55-71BF3F3BE9C0}</author>
    <author>tc={D9477364-87B5-4BF5-8BC1-BB386A911B93}</author>
    <author>tc={7E3D91D2-C8A9-40EA-9B73-15D216D0356D}</author>
  </authors>
  <commentList>
    <comment ref="C4" authorId="0" shapeId="0" xr:uid="{78321BB6-58A9-4466-A568-92480B60BF52}">
      <text>
        <t xml:space="preserve">[Threaded comment]
Your version of Excel allows you to read this threaded comment; however, any edits to it will get removed if the file is opened in a newer version of Excel. Learn more: https://go.microsoft.com/fwlink/?linkid=870924
Comment:
    IC-02: Source Availability; Fully available in one of the academic sources (Section 2.2.2). </t>
      </text>
    </comment>
    <comment ref="C5" authorId="1" shapeId="0" xr:uid="{0B324706-E827-4EC5-954D-1028E7727263}">
      <text>
        <t xml:space="preserve">[Threaded comment]
Your version of Excel allows you to read this threaded comment; however, any edits to it will get removed if the file is opened in a newer version of Excel. Learn more: https://go.microsoft.com/fwlink/?linkid=870924
Comment:
    IC-01: Date Relevance; Published between 2010–2020 (or 2010–2024 for the update). </t>
      </text>
    </comment>
    <comment ref="C6" authorId="2" shapeId="0" xr:uid="{4B081152-02F6-4290-AFEA-9A43E5D189D6}">
      <text>
        <t xml:space="preserve">[Threaded comment]
Your version of Excel allows you to read this threaded comment; however, any edits to it will get removed if the file is opened in a newer version of Excel. Learn more: https://go.microsoft.com/fwlink/?linkid=870924
Comment:
    EC-06: Not Readable; document written in a language other than English or Spanish. </t>
      </text>
    </comment>
    <comment ref="C7" authorId="3" shapeId="0" xr:uid="{271B2DCC-C136-4378-B9BD-F7ADBA970FEA}">
      <text>
        <t>[Threaded comment]
Your version of Excel allows you to read this threaded comment; however, any edits to it will get removed if the file is opened in a newer version of Excel. Learn more: https://go.microsoft.com/fwlink/?linkid=870924
Comment:
    EC-05: Is Book; document labelled as a book or a book part (e.g.: chapter or section).</t>
      </text>
    </comment>
    <comment ref="C8" authorId="4" shapeId="0" xr:uid="{94E0DABD-0A5A-47D4-99D9-BA87E8C315FD}">
      <text>
        <t xml:space="preserve">[Threaded comment]
Your version of Excel allows you to read this threaded comment; however, any edits to it will get removed if the file is opened in a newer version of Excel. Learn more: https://go.microsoft.com/fwlink/?linkid=870924
Comment:
    IC-03: Document Type; document labelled as article, conference paper, journal, or proceedings. </t>
      </text>
    </comment>
    <comment ref="C9" authorId="5" shapeId="0" xr:uid="{C4983806-F9D8-4A7F-A575-B848BE661639}">
      <text>
        <t xml:space="preserve">[Threaded comment]
Your version of Excel allows you to read this threaded comment; however, any edits to it will get removed if the file is opened in a newer version of Excel. Learn more: https://go.microsoft.com/fwlink/?linkid=870924
Comment:
    EC-01: No Title; document does NOT have a title. </t>
      </text>
    </comment>
    <comment ref="C10" authorId="6" shapeId="0" xr:uid="{C32A48E9-C0FF-41E5-9EB5-603BB9312721}">
      <text>
        <t>[Threaded comment]
Your version of Excel allows you to read this threaded comment; however, any edits to it will get removed if the file is opened in a newer version of Excel. Learn more: https://go.microsoft.com/fwlink/?linkid=870924
Comment:
    EC-02: No Authors; authors NOT listed in the document.</t>
      </text>
    </comment>
    <comment ref="C11" authorId="7" shapeId="0" xr:uid="{D042ABAB-3FBE-4BCD-9F29-53832B6CAA03}">
      <text>
        <t>[Threaded comment]
Your version of Excel allows you to read this threaded comment; however, any edits to it will get removed if the file is opened in a newer version of Excel. Learn more: https://go.microsoft.com/fwlink/?linkid=870924
Comment:
    EC-03: No DOI; document does NOT have a Digital Object Identifier (DOI ).</t>
      </text>
    </comment>
    <comment ref="C12" authorId="8" shapeId="0" xr:uid="{7411CCED-9C7D-40A1-AA55-71BF3F3BE9C0}">
      <text>
        <t>[Threaded comment]
Your version of Excel allows you to read this threaded comment; however, any edits to it will get removed if the file is opened in a newer version of Excel. Learn more: https://go.microsoft.com/fwlink/?linkid=870924
Comment:
    EC-04: No Abstract; document does NOT have a summary or abstract.</t>
      </text>
    </comment>
    <comment ref="C13" authorId="9" shapeId="0" xr:uid="{D9477364-87B5-4BF5-8BC1-BB386A911B93}">
      <text>
        <t xml:space="preserve">[Threaded comment]
Your version of Excel allows you to read this threaded comment; however, any edits to it will get removed if the file is opened in a newer version of Excel. Learn more: https://go.microsoft.com/fwlink/?linkid=870924
Comment:
    IC-04: Title Keywords; Title include words like:“Dimensional Analysis”,“Dimensionless Coefficients”,“Π-Theorem”, “Software”, “Design”, “Tools”, “Development”, or “Architecture”. </t>
      </text>
    </comment>
    <comment ref="C14" authorId="10" shapeId="0" xr:uid="{7E3D91D2-C8A9-40EA-9B73-15D216D0356D}">
      <text>
        <t xml:space="preserve">[Threaded comment]
Your version of Excel allows you to read this threaded comment; however, any edits to it will get removed if the file is opened in a newer version of Excel. Learn more: https://go.microsoft.com/fwlink/?linkid=870924
Comment:
    IC-05: Abstract Keywords; Summary include words like: “Dimensional Analysis”, “Dimensionless Coefficients”, “Π-Theorem”, “Software”, “Design”, “Tools”, “Development”, or “Architecture”. 
Reply:
    E.g.:
=SUMPRODUCT(--ISNUMBER(SEARCH({"apple","banana","cherry"}, B1)))&gt;0 
Explanation:
SEARCH({"apple","banana","cherry"}, B1) checks if each word exists in B1.
ISNUMBER(...) returns TRUE/FALSE for each word.
-- converts TRUE/FALSE to 1/0.
SUMPRODUCT(...) sums the results, and &gt;0 returns TRUE if at least one word is found.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tc={89484925-10FF-4EBD-B159-4F1847893F5F}</author>
    <author>tc={FD072318-235E-4B61-BC50-B6557B7AC5E3}</author>
    <author>tc={E7424919-E3B8-4B69-9711-37D5E03E1CC3}</author>
    <author>tc={3A466795-599F-4CB9-8CB6-4D1A7A3A17D1}</author>
    <author>tc={5C47DB51-AB38-43E6-9258-BEFB4ED7DD3B}</author>
    <author>tc={EAEA9848-50EB-43AC-883C-A31C5C50FF78}</author>
    <author>tc={F222ED87-B4A7-4BF4-B078-2B37C396747F}</author>
    <author>tc={220D3774-1DE3-45C4-861D-4F2F86F1F6E2}</author>
  </authors>
  <commentList>
    <comment ref="F2" authorId="0" shapeId="0" xr:uid="{89484925-10FF-4EBD-B159-4F1847893F5F}">
      <text>
        <t>[Threaded comment]
Your version of Excel allows you to read this threaded comment; however, any edits to it will get removed if the file is opened in a newer version of Excel. Learn more: https://go.microsoft.com/fwlink/?linkid=870924
Comment:
    QF-01: References key or indexed sources on Dimensional Analysis? (Y /N ).</t>
      </text>
    </comment>
    <comment ref="G2" authorId="1" shapeId="0" xr:uid="{FD072318-235E-4B61-BC50-B6557B7AC5E3}">
      <text>
        <t>[Threaded comment]
Your version of Excel allows you to read this threaded comment; however, any edits to it will get removed if the file is opened in a newer version of Excel. Learn more: https://go.microsoft.com/fwlink/?linkid=870924
Comment:
    QF-02: Is Dimensional Analysis central to the document? (Y /N /P ).</t>
      </text>
    </comment>
    <comment ref="H2" authorId="2" shapeId="0" xr:uid="{E7424919-E3B8-4B69-9711-37D5E03E1CC3}">
      <text>
        <t>[Threaded comment]
Your version of Excel allows you to read this threaded comment; however, any edits to it will get removed if the file is opened in a newer version of Excel. Learn more: https://go.microsoft.com/fwlink/?linkid=870924
Comment:
    QF-03: states an objective, research question, or modeling goal on Dimensional Analysis? (Y /N /P ).</t>
      </text>
    </comment>
    <comment ref="I2" authorId="3" shapeId="0" xr:uid="{3A466795-599F-4CB9-8CB6-4D1A7A3A17D1}">
      <text>
        <t>[Threaded comment]
Your version of Excel allows you to read this threaded comment; however, any edits to it will get removed if the file is opened in a newer version of Excel. Learn more: https://go.microsoft.com/fwlink/?linkid=870924
Comment:
    QF-04: Describes or applies identifiable steps, rules, or computational procedures related to Dimensional Analysis? (Y /N /P ).</t>
      </text>
    </comment>
    <comment ref="J2" authorId="4" shapeId="0" xr:uid="{5C47DB51-AB38-43E6-9258-BEFB4ED7DD3B}">
      <text>
        <t>[Threaded comment]
Your version of Excel allows you to read this threaded comment; however, any edits to it will get removed if the file is opened in a newer version of Excel. Learn more: https://go.microsoft.com/fwlink/?linkid=870924
Comment:
    QF-05: Provides quantitative evidence, simulation results, or empirical validation to support the application of Dimensional Analysis? (Y /N /P ).</t>
      </text>
    </comment>
    <comment ref="K2" authorId="5" shapeId="0" xr:uid="{EAEA9848-50EB-43AC-883C-A31C5C50FF78}">
      <text>
        <t>[Threaded comment]
Your version of Excel allows you to read this threaded comment; however, any edits to it will get removed if the file is opened in a newer version of Excel. Learn more: https://go.microsoft.com/fwlink/?linkid=870924
Comment:
    QF-06: Discusses limitations or challenges of applying Dimensional Analysis in the research context? (Y /N /P ).</t>
      </text>
    </comment>
    <comment ref="C6" authorId="6" shapeId="0" xr:uid="{F222ED87-B4A7-4BF4-B078-2B37C396747F}">
      <text>
        <t>[Threaded comment]
Your version of Excel allows you to read this threaded comment; however, any edits to it will get removed if the file is opened in a newer version of Excel. Learn more: https://go.microsoft.com/fwlink/?linkid=870924
Comment:
    Although it introduces a novel analogy using energy and action, it doesn't include clear dimensional analysis procedures or empirical validation tied directly to dimensionless modeling.</t>
      </text>
    </comment>
    <comment ref="C10" authorId="7" shapeId="0" xr:uid="{220D3774-1DE3-45C4-861D-4F2F86F1F6E2}">
      <text>
        <t>[Threaded comment]
Your version of Excel allows you to read this threaded comment; however, any edits to it will get removed if the file is opened in a newer version of Excel. Learn more: https://go.microsoft.com/fwlink/?linkid=870924
Comment:
    The paper is highly abstract and theoretical, using physics-inspired ideas, but it doesn't apply or validate standard dimensional analysis methods in a concrete or testable way.</t>
      </text>
    </comment>
  </commentList>
</comments>
</file>

<file path=xl/sharedStrings.xml><?xml version="1.0" encoding="utf-8"?>
<sst xmlns="http://schemas.openxmlformats.org/spreadsheetml/2006/main" count="668" uniqueCount="477">
  <si>
    <t>CONNECTOR</t>
  </si>
  <si>
    <t>DEFINITION</t>
  </si>
  <si>
    <t>ROLES</t>
  </si>
  <si>
    <t>EXAMPLES</t>
  </si>
  <si>
    <t>Procedure Call</t>
  </si>
  <si>
    <t>Enables control flow between components with different techniques to invoke</t>
  </si>
  <si>
    <t>Coordinate, communicate, facilitate</t>
  </si>
  <si>
    <t>Object invocation, fork, exec, call-back, RCP</t>
  </si>
  <si>
    <t>Event</t>
  </si>
  <si>
    <t>Enables the flow of control like Procedural Calls, but it starts with the interruption that an object suffers</t>
  </si>
  <si>
    <t>GUI, Mouse, paging, signals, triggers</t>
  </si>
  <si>
    <t>Data Access</t>
  </si>
  <si>
    <t>Enables access to data in some type of repository</t>
  </si>
  <si>
    <t>Communicate, convert</t>
  </si>
  <si>
    <t>SQL, MongoDB</t>
  </si>
  <si>
    <t>Linkage</t>
  </si>
  <si>
    <t>Creates a channel between two components and holds them together during operation</t>
  </si>
  <si>
    <t>Communicate, coordinate, facilitate</t>
  </si>
  <si>
    <t>Dependencies and relationships, Module Interconnection languages (MIL)</t>
  </si>
  <si>
    <t>Stream</t>
  </si>
  <si>
    <t>Enables the transfer of large data volumes between autonomous processes</t>
  </si>
  <si>
    <t>TCP/UDP, Unix Pipes</t>
  </si>
  <si>
    <t>Arbitrator</t>
  </si>
  <si>
    <t>Enables two components to work that know of each other existence but cannot assume the same state</t>
  </si>
  <si>
    <t>Facilitate, coordinate, communicate, convert</t>
  </si>
  <si>
    <t>Monitor, Enterprise Service Bus (ESB), Semaphores</t>
  </si>
  <si>
    <t>Adaptor</t>
  </si>
  <si>
    <t>Enables the operation between components that are not designed to interact</t>
  </si>
  <si>
    <t>Convert, communicate</t>
  </si>
  <si>
    <t>XML, Wrapper, JSON</t>
  </si>
  <si>
    <t>Distributor</t>
  </si>
  <si>
    <t>Identifies the best paths and interactions to communicate components within a network</t>
  </si>
  <si>
    <t>Facilitate, communicate, coordinate, convert</t>
  </si>
  <si>
    <t>DNS</t>
  </si>
  <si>
    <t>ACM</t>
  </si>
  <si>
    <t>Relevance</t>
  </si>
  <si>
    <t>ASME</t>
  </si>
  <si>
    <t>IEEE Xplore</t>
  </si>
  <si>
    <t>ScienceDirect</t>
  </si>
  <si>
    <t>SpringerLink</t>
  </si>
  <si>
    <t>SEARCH STRING</t>
  </si>
  <si>
    <t>PERIOD</t>
  </si>
  <si>
    <t>RangeAddress</t>
  </si>
  <si>
    <t>Options</t>
  </si>
  <si>
    <t>CellWidth</t>
  </si>
  <si>
    <t>Indent</t>
  </si>
  <si>
    <t>FileName</t>
  </si>
  <si>
    <t>ID</t>
  </si>
  <si>
    <t>T-001</t>
  </si>
  <si>
    <t>T-002</t>
  </si>
  <si>
    <t>Specify search strategy</t>
  </si>
  <si>
    <t>T-003</t>
  </si>
  <si>
    <t>Create search string</t>
  </si>
  <si>
    <t>T-004</t>
  </si>
  <si>
    <t>Define inclusion and exclusion criteria</t>
  </si>
  <si>
    <t>T-005</t>
  </si>
  <si>
    <t>T-006</t>
  </si>
  <si>
    <t>T-007</t>
  </si>
  <si>
    <t>Use search string</t>
  </si>
  <si>
    <t>T-008</t>
  </si>
  <si>
    <t>Collect documents</t>
  </si>
  <si>
    <t>T-009</t>
  </si>
  <si>
    <t>Apply inclusion and exclusion criteria</t>
  </si>
  <si>
    <t>T-010</t>
  </si>
  <si>
    <t>Extract data</t>
  </si>
  <si>
    <t>T-011</t>
  </si>
  <si>
    <t>T-012</t>
  </si>
  <si>
    <t>T-013</t>
  </si>
  <si>
    <t>T-014</t>
  </si>
  <si>
    <t>T-015</t>
  </si>
  <si>
    <t>T-016</t>
  </si>
  <si>
    <t>T-017</t>
  </si>
  <si>
    <t>Deliver report</t>
  </si>
  <si>
    <t>Define research questions</t>
  </si>
  <si>
    <t>C-01</t>
  </si>
  <si>
    <t>C-02</t>
  </si>
  <si>
    <t>C-03</t>
  </si>
  <si>
    <t>O-01</t>
  </si>
  <si>
    <t>O-02</t>
  </si>
  <si>
    <t>O-03</t>
  </si>
  <si>
    <t>O-04</t>
  </si>
  <si>
    <t>O-05</t>
  </si>
  <si>
    <t>O-06</t>
  </si>
  <si>
    <t>O-07</t>
  </si>
  <si>
    <t>O-08</t>
  </si>
  <si>
    <t>O-09</t>
  </si>
  <si>
    <t>Insights</t>
  </si>
  <si>
    <t>O-10</t>
  </si>
  <si>
    <t>O-11</t>
  </si>
  <si>
    <t>O-12</t>
  </si>
  <si>
    <t>DS-01</t>
  </si>
  <si>
    <t>Scientific Archives</t>
  </si>
  <si>
    <t>DS-02</t>
  </si>
  <si>
    <t>Reference Management Systems</t>
  </si>
  <si>
    <t>DS-03</t>
  </si>
  <si>
    <t>Analysis Tools</t>
  </si>
  <si>
    <t>T-018</t>
  </si>
  <si>
    <t>Update protocol</t>
  </si>
  <si>
    <t>T-019</t>
  </si>
  <si>
    <t>Summarize findings</t>
  </si>
  <si>
    <t>Review protocol quality</t>
  </si>
  <si>
    <t>Parallel Computing</t>
  </si>
  <si>
    <t>Self-similarity of parallel machines</t>
  </si>
  <si>
    <t>Computer Science - Research and Development</t>
  </si>
  <si>
    <t>Computer performance analysis and the Pi Theorem</t>
  </si>
  <si>
    <t>Title</t>
  </si>
  <si>
    <t>Voyant Title</t>
  </si>
  <si>
    <t>Document Title</t>
  </si>
  <si>
    <t>Readability Index</t>
  </si>
  <si>
    <t>Average</t>
  </si>
  <si>
    <t>Min</t>
  </si>
  <si>
    <t>Max</t>
  </si>
  <si>
    <t>YES</t>
  </si>
  <si>
    <t>CAT-01</t>
  </si>
  <si>
    <t>Topics</t>
  </si>
  <si>
    <t>The main subjects or themes addressed in the document. This includes the specific areas of study, concepts, and issues that the document focuses on.</t>
  </si>
  <si>
    <t>CAT-02</t>
  </si>
  <si>
    <t>Methods</t>
  </si>
  <si>
    <t>The techniques, procedures, and approaches used to conduct the research or analysis in the document. This includes experimental designs, computational methods, theoretical frameworks, and any specific methodologies applied.</t>
  </si>
  <si>
    <t>CAT-03</t>
  </si>
  <si>
    <t>Tools</t>
  </si>
  <si>
    <t>The instruments, software, models, or systems used to carry out the research or analysis. This includes any hardware or software tools, simulation programs, analytical models, or frameworks utilized in the study.</t>
  </si>
  <si>
    <t>CAT-04</t>
  </si>
  <si>
    <t>Outcomes</t>
  </si>
  <si>
    <t>The results, findings, and conclusions derived from the research or analysis. This includes quantitative data, qualitative insights, key discoveries, and any implications or recommendations presented in the document.</t>
  </si>
  <si>
    <t>03A - PS Summary (2).tex</t>
  </si>
  <si>
    <t>2010-2020 and 
2010-2024</t>
  </si>
  <si>
    <t>"performance analysis" AND ("pi theorem" OR "dimensional analysis") AND software AND (architecture OR develop)</t>
  </si>
  <si>
    <t>("Full Text &amp; Metadata":"performance analysis") AND ("Full Text &amp; Metadata":"pi theorem" OR "Full Text &amp; Metadata":"dimensional analysis") AND ("Full Text &amp; Metadata":software) AND ("Full Text &amp; Metadata":architecture OR "Full Text &amp; Metadata":develop)</t>
  </si>
  <si>
    <t>("performance analysis") AND ("pi theorem" OR "dimensional analysis") AND "software" AND ("architecture" OR "develop")</t>
  </si>
  <si>
    <t>Review SLR quality</t>
  </si>
  <si>
    <t>Update SLR</t>
  </si>
  <si>
    <t>Synthetize document data</t>
  </si>
  <si>
    <t>Update search string and strategy</t>
  </si>
  <si>
    <t>Perform snowballing references</t>
  </si>
  <si>
    <t>To postulate the research questions based on the preliminary search string.</t>
  </si>
  <si>
    <t>To refine the search string and strategy if necessary.</t>
  </si>
  <si>
    <t>To update the SLR process if necessary.</t>
  </si>
  <si>
    <t>To adjust the SLR protocol if necessary</t>
  </si>
  <si>
    <t>To define the search strategy, including sources, time periods, and document types.</t>
  </si>
  <si>
    <t>To create the search string using the PICO strategy.</t>
  </si>
  <si>
    <t>To establish inclusion and exclusion criteria.</t>
  </si>
  <si>
    <t>To evaluate protocol quality using control instruments.</t>
  </si>
  <si>
    <t>To execute the search string in academic databases.</t>
  </si>
  <si>
    <t xml:space="preserve"> To collect documents and metadata from the search results.</t>
  </si>
  <si>
    <t>To apply inclusion and exclusion criteria to filter documents.</t>
  </si>
  <si>
    <t>To extract relevant data from selected documents.</t>
  </si>
  <si>
    <t>To expand the document pool through reference snowballing.</t>
  </si>
  <si>
    <t>To classify and map documents using the keyword scheme.</t>
  </si>
  <si>
    <t>To summarize insights, including contributions and knowledge gaps.</t>
  </si>
  <si>
    <t>To assess SLR quality using control instruments.</t>
  </si>
  <si>
    <t>To deliver the final report with diagrams and findings.</t>
  </si>
  <si>
    <t>NAME</t>
  </si>
  <si>
    <t>DESCRIPTION</t>
  </si>
  <si>
    <t>Protocol meets quality controls?</t>
  </si>
  <si>
    <t>Documents meet review criteria?</t>
  </si>
  <si>
    <t>Ensures documents meet inclusion and exclusion criteria.</t>
  </si>
  <si>
    <t>SLR meets quality standards?</t>
  </si>
  <si>
    <t>Confirms SLR report meets quality checkpoints.</t>
  </si>
  <si>
    <t>Verifies if the literature review tasks meet all quality checkpoints.</t>
  </si>
  <si>
    <t>Primary Studies</t>
  </si>
  <si>
    <t>Research Question</t>
  </si>
  <si>
    <t>Defined research question(s) for dimensional analysis.</t>
  </si>
  <si>
    <t>Data Sources &amp; Strategy</t>
  </si>
  <si>
    <t>Selected data sources and search strategy in the review protocol.</t>
  </si>
  <si>
    <t>Search String</t>
  </si>
  <si>
    <t>Specified search string based on research question(s).</t>
  </si>
  <si>
    <t>Inclusion/Exclusion Criteria</t>
  </si>
  <si>
    <t>Checklist of inclusion and exclusion criteria.</t>
  </si>
  <si>
    <t>Approved Protocol</t>
  </si>
  <si>
    <t>Complete and reviewed SLR protocol.</t>
  </si>
  <si>
    <t>Found Documents</t>
  </si>
  <si>
    <t>Documents found using search string, strategy, and sources.</t>
  </si>
  <si>
    <t>Tabulated Data</t>
  </si>
  <si>
    <t>Classification Scheme</t>
  </si>
  <si>
    <t>Systematic Map</t>
  </si>
  <si>
    <t>SLR Report</t>
  </si>
  <si>
    <t>Final report for the literature review.</t>
  </si>
  <si>
    <t>Processed data and statistics from primary documents.</t>
  </si>
  <si>
    <t>Classification scheme for primary documents using analysis tools.</t>
  </si>
  <si>
    <t>Data and metadata charts from primary documents.</t>
  </si>
  <si>
    <t>Analysis of primary documents, including contributions, gaps, and challenges.</t>
  </si>
  <si>
    <t>Primary documents after applying criteria.</t>
  </si>
  <si>
    <t>We manage references and data with Zotero.</t>
  </si>
  <si>
    <t>We analyze extracted data using Voyant.</t>
  </si>
  <si>
    <t>CATEGORY</t>
  </si>
  <si>
    <t xml:space="preserve"> SOURCE</t>
  </si>
  <si>
    <t>SORT BY</t>
  </si>
  <si>
    <t>SOURCE</t>
  </si>
  <si>
    <t>TALLY</t>
  </si>
  <si>
    <t>2024 (46)
2023 (29)
2022 (11)
2021 (4)
2020 (2)</t>
  </si>
  <si>
    <t>Research Article (43)
Review Article (3)</t>
  </si>
  <si>
    <t>Ad Hoc Networks (2)
Applied Soft Computing (2)
Computers and Electrical Engineering (2)
Future Generation Computer Systems (2)
Neural Computing and Applications (2)</t>
  </si>
  <si>
    <t>2024 (2)
2023 (3)
2022 (6)
2021 (6)
2020 (4)</t>
  </si>
  <si>
    <t>Research-Article (20)
Research Papers (12)
Design Innovation Paper (2)
Review Articles (2)
Technical Briefs (2)</t>
  </si>
  <si>
    <t>Research Papers (15)
Alternative Energy Sources (3)
Design Innovation Paper (2)
Energy Systems Analysis (2)
Fluid-Structure Interaction (2)</t>
  </si>
  <si>
    <t>2024 (11)
2023 (19)
2022 (12)
2021 (13)
2020 (2)</t>
  </si>
  <si>
    <t>Article (73)
Research article (57)
Chapter (27)
Conference paper (11)
Review article (11)</t>
  </si>
  <si>
    <t>Engineering fluid dynamics (12)
Computational fluid dynamics (9)
Energy management (8)
Thermal process engineering (8)
Building information modelling (7)</t>
  </si>
  <si>
    <t>2020 (2)
2019 (3)
2018 (2)
2017 (4)
2016 (6)</t>
  </si>
  <si>
    <t xml:space="preserve">    Research Article (15)
    Review Article (1) </t>
  </si>
  <si>
    <t xml:space="preserve">Applied Soft Computing (2)
Neural Computing and Applications (2)
Structural and Multidisciplinary Optimization (2)
Computer Methods and Programs in Biomedicine (1)
Computers and Electrical Engineering (1) </t>
  </si>
  <si>
    <t>2020 (4)
2019 (3)
2018 (7)
2017 (0)
2016 (2)</t>
  </si>
  <si>
    <t xml:space="preserve">Research-Article (15)
Research Papers (3)
Design Innovation Paper (1)
Review Articles (1)
Special Issue On Nanomanufacturing (1) </t>
  </si>
  <si>
    <t>Research Papers (7)
Alternative Energy Sources (2)
Gas Turbines: Combustion, Fuels, and Emissions (2)
CFD and VIV (1)
Design Innovation Paper (1)</t>
  </si>
  <si>
    <t>2020 (2)
2019 (7)
2018 (3)
2017 (2)
2016 (9)</t>
  </si>
  <si>
    <t>Article (28)
Research article (23)
Chapter (17)
Conference paper (8)
Review article (3)</t>
  </si>
  <si>
    <t>Energy management (6)
Engineering fluid dynamics (6)
Building information modelling (5)
Computational fluid dynamics (5)
Solid mechanics (4)</t>
  </si>
  <si>
    <t>[All: "performance analysis"] AND [[All: "pi theorem"] OR [All: "dimensional analysis"]] AND [[All: software architecture] OR [All: software develop]]</t>
  </si>
  <si>
    <t>"performance" AND "dimensional analysis" AND "pi theorem" AND "software" AND ("architecture" OR develop)</t>
  </si>
  <si>
    <t>2010 - 2024</t>
  </si>
  <si>
    <t>2024 (12)
2023 (4)
2022 (4)
2021 (0)
2020 (3)</t>
  </si>
  <si>
    <t xml:space="preserve"> Conferences (19)
Journals (10)
Books (1) </t>
  </si>
  <si>
    <t>Internet Of Things (3)
Machine Learning( 3)
Support Vector Machine (3)
Anomaly Detection (2)
Center For Control (2)</t>
  </si>
  <si>
    <t>2024 (72)
2023 (43)
2022 (50)
2021 (52)
2020 (33)</t>
  </si>
  <si>
    <t>Review articles (19)
Research articles (337)
Short communications (1)</t>
  </si>
  <si>
    <t>Engineering (230)
Chemical Engineering (92)
Energy (86)
Earth and Planetary Sciences (52)
Environmental Science (46)</t>
  </si>
  <si>
    <t>SUM</t>
  </si>
  <si>
    <t>2010 - 2020</t>
  </si>
  <si>
    <t>2020 (3)
2019 (0)
2018 (5)
2017 (1)
2016 (0)</t>
  </si>
  <si>
    <t>Journals (5)
Conferences (4)
Books (1)</t>
  </si>
  <si>
    <t>Anomaly Detection (2)
Center For Control (2)
Control Plane (2)
Defense System (2)
Denial Of Service (2)</t>
  </si>
  <si>
    <t>2020 (33)
2019 (17)
2018 (20)
2017 (14)
2016 (11)</t>
  </si>
  <si>
    <t>Review articles (7)
Research articles (133)</t>
  </si>
  <si>
    <t>Engineering (80)
Chemical Engineering (50)
Energy (40)
Earth and Planetary Sciences (20)
Materials Science (17)</t>
  </si>
  <si>
    <t>FLT-001</t>
  </si>
  <si>
    <r>
      <t xml:space="preserve">To execute the initial </t>
    </r>
    <r>
      <rPr>
        <i/>
        <sz val="11"/>
        <color theme="1"/>
        <rFont val="Aptos Narrow"/>
        <family val="2"/>
        <scheme val="minor"/>
      </rPr>
      <t>Query String</t>
    </r>
    <r>
      <rPr>
        <sz val="11"/>
        <color theme="1"/>
        <rFont val="Aptos Narrow"/>
        <family val="2"/>
        <scheme val="minor"/>
      </rPr>
      <t>.</t>
    </r>
  </si>
  <si>
    <t>Due to filtering the first set of results.</t>
  </si>
  <si>
    <t>FLT-002</t>
  </si>
  <si>
    <t>IC-01</t>
  </si>
  <si>
    <t>Due to focusing on recent work.</t>
  </si>
  <si>
    <t>FLT-003</t>
  </si>
  <si>
    <t>IC-02</t>
  </si>
  <si>
    <t>To include documents with complete access to the file.</t>
  </si>
  <si>
    <t>Due to requiring full document access.</t>
  </si>
  <si>
    <t>FLT-004</t>
  </si>
  <si>
    <t>EC-06</t>
  </si>
  <si>
    <t>To exclude documents in languages other than English or Spanish.</t>
  </si>
  <si>
    <t>Due to limited capabilities.</t>
  </si>
  <si>
    <t>FLT-005</t>
  </si>
  <si>
    <t>EC-05</t>
  </si>
  <si>
    <t>To exclude complete books, eBooks, or short reports.</t>
  </si>
  <si>
    <t>Due to narrowing the document type.</t>
  </si>
  <si>
    <t>FLT-006</t>
  </si>
  <si>
    <t>IC-03</t>
  </si>
  <si>
    <t>To include documents from research, reviews, conferences or journals.</t>
  </si>
  <si>
    <t>FLT-007</t>
  </si>
  <si>
    <t>EC-01</t>
  </si>
  <si>
    <t>To exclude documents without a title.</t>
  </si>
  <si>
    <t>Due to needing clear attribution.</t>
  </si>
  <si>
    <t>FLT-008</t>
  </si>
  <si>
    <t>EC-02</t>
  </si>
  <si>
    <t>To exclude documents without authors.</t>
  </si>
  <si>
    <t>FLT-009</t>
  </si>
  <si>
    <t>EC-03</t>
  </si>
  <si>
    <t>To exclude documents without complete publisher data (DOI or venue).</t>
  </si>
  <si>
    <t>Due to verifying publisher reliability.</t>
  </si>
  <si>
    <t>FLT-010</t>
  </si>
  <si>
    <t>EC-04</t>
  </si>
  <si>
    <t>To exclude documents without an abstract</t>
  </si>
  <si>
    <t>FLT-011</t>
  </si>
  <si>
    <t>IC-04</t>
  </si>
  <si>
    <t>To include documents with "dimension*", "number*", "analysis", "pi*", or "theorem" in their title.</t>
  </si>
  <si>
    <t>Due to matching core keywords.</t>
  </si>
  <si>
    <t>FLT-012</t>
  </si>
  <si>
    <t>IC-05</t>
  </si>
  <si>
    <t>To include documents with "dimension*", "number*", "analysis", "pi*", or "theorem" in their abstract.</t>
  </si>
  <si>
    <t>Due to checking thematic fit.</t>
  </si>
  <si>
    <t>FLT-013</t>
  </si>
  <si>
    <t>To include unique documents.</t>
  </si>
  <si>
    <t>FLT-014</t>
  </si>
  <si>
    <t>To confirm the document’s field from title, abstract, or tags</t>
  </si>
  <si>
    <t>Due to ensuring topic relevance.</t>
  </si>
  <si>
    <t>FLT-015</t>
  </si>
  <si>
    <t>To close read the entire document.</t>
  </si>
  <si>
    <t>FLT-016</t>
  </si>
  <si>
    <t>SD-10</t>
  </si>
  <si>
    <t>To examine the document and its bibliography for new links</t>
  </si>
  <si>
    <t>Due to discovering more relevant documents.</t>
  </si>
  <si>
    <t>FLT-017</t>
  </si>
  <si>
    <t>QF-01 ~ QF-06</t>
  </si>
  <si>
    <t>To qualify the document content</t>
  </si>
  <si>
    <t>Due to ensuring the document evidence</t>
  </si>
  <si>
    <t>N.A.</t>
  </si>
  <si>
    <t>To Include documents between 2010 and 2020 (2024 for the update).</t>
  </si>
  <si>
    <t>Key</t>
  </si>
  <si>
    <t>QF-01</t>
  </si>
  <si>
    <t>QF-02</t>
  </si>
  <si>
    <t>QF-03</t>
  </si>
  <si>
    <t>QF-04</t>
  </si>
  <si>
    <t>QF-05</t>
  </si>
  <si>
    <t>QF-06</t>
  </si>
  <si>
    <t>RD-01</t>
  </si>
  <si>
    <t>Implementation of Buckingham's Pi Theorem Using Python</t>
  </si>
  <si>
    <t>MYTEGS2T</t>
  </si>
  <si>
    <t>PARTIALLY</t>
  </si>
  <si>
    <t>RD-02</t>
  </si>
  <si>
    <t>Self-Similarity of Parallel Machines</t>
  </si>
  <si>
    <t>KJWNN35S</t>
  </si>
  <si>
    <t>RD-03</t>
  </si>
  <si>
    <t>Computer Performance Analysis and the Pi Theorem</t>
  </si>
  <si>
    <t>ZZUL6R72</t>
  </si>
  <si>
    <t>RD-04</t>
  </si>
  <si>
    <t>The Computational Energy Spectrum of a Program as It Executes</t>
  </si>
  <si>
    <t>3IFNFBS7</t>
  </si>
  <si>
    <t>NO</t>
  </si>
  <si>
    <t>RD-05</t>
  </si>
  <si>
    <t>Computational Forces in the SAGE Benchmark</t>
  </si>
  <si>
    <t>AC5DH5AY</t>
  </si>
  <si>
    <t>RD-06</t>
  </si>
  <si>
    <t>Computational Forces in the Linpack Benchmark</t>
  </si>
  <si>
    <t>UMFDQ7P5</t>
  </si>
  <si>
    <t>RD-07</t>
  </si>
  <si>
    <t>Dimensional Analysis Applied to a Parallel QR Algorithm</t>
  </si>
  <si>
    <t>X59BM33R</t>
  </si>
  <si>
    <t>RD-08</t>
  </si>
  <si>
    <t>A Metric Space for Computer Programs and the Principle of Computational Least Action</t>
  </si>
  <si>
    <t>55RR4PSV</t>
  </si>
  <si>
    <t>Words</t>
  </si>
  <si>
    <t>Types</t>
  </si>
  <si>
    <t>Ratio</t>
  </si>
  <si>
    <t>Words/Sentence</t>
  </si>
  <si>
    <t>Comment</t>
  </si>
  <si>
    <t>Implementation of Buckingham's Pi theorem using Python</t>
  </si>
  <si>
    <t>PS-01</t>
  </si>
  <si>
    <t>Highest readability score, distinctive use of Python and mathematical symbols (π, ρ)</t>
  </si>
  <si>
    <t>PS-02</t>
  </si>
  <si>
    <t>Notable for parallel computing terms and unique coefficient analysis</t>
  </si>
  <si>
    <t>PS-03 - Numrich - 2014</t>
  </si>
  <si>
    <t>PS-03</t>
  </si>
  <si>
    <t>Longest document, extensive use of cache analysis terms</t>
  </si>
  <si>
    <t>PS-04 - Numrich - 2009</t>
  </si>
  <si>
    <t>Computational forces in the SAGE benchmark</t>
  </si>
  <si>
    <t>PS-04</t>
  </si>
  <si>
    <t>Focus on computational forces with unique mathematical notation</t>
  </si>
  <si>
    <t>doi:10.1016/j.jpdc.2008.02.008</t>
  </si>
  <si>
    <t>Computational forces in the Linpack benchmark</t>
  </si>
  <si>
    <t>PS-05</t>
  </si>
  <si>
    <t>Shortest document but highest vocabulary diversity</t>
  </si>
  <si>
    <t>PS-06</t>
  </si>
  <si>
    <t>Focus on dimensional analysis with QR-specific terminology</t>
  </si>
  <si>
    <t>Science Direct</t>
  </si>
  <si>
    <t>Dumka, Pankaj; Chauhan, Rishika; Singh, Ayush; Singh, Gaurav; Mishra, Dhananjay</t>
  </si>
  <si>
    <t>Advances in Engineering Software</t>
  </si>
  <si>
    <t>Journal Article</t>
  </si>
  <si>
    <t>• Implements symbolic and numerical computation of dimensionless groups using Buckingham’s Pi Theorem. ✅</t>
  </si>
  <si>
    <t>• Automatically generates valid π-groups. ✅
• Reproduces known physical dimensionless numbers. ✅</t>
  </si>
  <si>
    <t>• Limited to M, L, and T fundamental dimensions. ✅
• Not yet generalized to broader other physics dimensions (e.g.: electric current [A]). ✅</t>
  </si>
  <si>
    <t>• To extend to additional base dimensions (e.g., temperature, electric current). 🟡
• To distribute it as an educational or research tool. 🟡</t>
  </si>
  <si>
    <t>• Automated dimensional analysis. ✅
• Symbolic π-group computation. ✅</t>
  </si>
  <si>
    <t>Numrich, Robert W.; Heroux, Michael A.</t>
  </si>
  <si>
    <t>• Uses dimensional analysis and mixing coefficients to compare machines. 🟡
• Decomposes CG solver runtime into core components. 🟡</t>
  </si>
  <si>
    <t>• Identifies machine equivalence via the mixing coefficient. ✅
• Validates performance self-similarity. ✅</t>
  </si>
  <si>
    <t>• Based on a single algorithm (CG solver). 🟡
• Limited to specific decomposition model. 🟡</t>
  </si>
  <si>
    <t>• To generalize to other solvers and system types. 🟡
• To apply mixing coefficient as a classification tool. 🟡</t>
  </si>
  <si>
    <t>• Mixing coefficient. ✅
• Machine equivalence classes. ✅
• Dimensionless runtime analysis. 🟡</t>
  </si>
  <si>
    <t>ACM Digital Library</t>
  </si>
  <si>
    <t>Numrich, Robert W.</t>
  </si>
  <si>
    <t>• Applies the Pi Theorem to performance metrics like latency, cache, and parallelism. ✅
• Develops dimensionless relationships using dimensional matrices. ✅</t>
  </si>
  <si>
    <t>• Shows many performance issues can be unified through dimensionless ratios. ✅
• Enables system comparison through self-similarity. ✅</t>
  </si>
  <si>
    <t>• Requires detailed knowledge of system parameters. 🟡
• Assumes scalable execution behaviour. 🟡</t>
  </si>
  <si>
    <t>• Automate parameter discovery. 🟡
• Extend to irregular and hybrid workload patterns. 🟡</t>
  </si>
  <si>
    <t>• Pi groups. ✅
• Dimensionless modelling. ✅
• Performance self-similarity. ✅</t>
  </si>
  <si>
    <t>Journal of Parallel and Distributed Computing</t>
  </si>
  <si>
    <t>• Uses dimensional analysis to reduce the SAGE runtime model. 🟡
• Defines software and hardware force ratios to build a performance surface. 🟡</t>
  </si>
  <si>
    <t>• Produces a universal efficiency surface across machines. ✅
• Classifies machines into equivalence classes via force ratios. ✅</t>
  </si>
  <si>
    <t>• Focused on weak scaling. 🟡
• Depends on machine-specific force definitions. 🟡</t>
  </si>
  <si>
    <t>• Extend to strong and hybrid scaling models. 🟡
• Improve path tracking across surfaces. 🟡</t>
  </si>
  <si>
    <t>• Computational forces. ✅
• Self-similarity surfaces. ✅
• Machine equivalence. ✅</t>
  </si>
  <si>
    <t>• Applies Pi Theorem to simplify a 10-parameter runtime model. 🟡
• Defines four computational forces (2 software, 2 hardware). ✅</t>
  </si>
  <si>
    <t>• Defines a 2D efficiency surface. ✅
• Enables force-based performance comparisons across systems. ✅</t>
  </si>
  <si>
    <t>• Benchmark-specific assumptions. 🟡
• Requires accurate modelling of parameters like α, β, γ. 🟡</t>
  </si>
  <si>
    <t>• Extend to other numerical benchmarks. 🟡
• Use geometric distance on the surface as a comparative metric. 🟡</t>
  </si>
  <si>
    <t>• Computational forces. ✅
• Efficiency surfaces. ✅
• Force-based performance modelling. 🟡</t>
  </si>
  <si>
    <t>Parallel Processing and Applied Mathematics</t>
  </si>
  <si>
    <t>Conference Paper</t>
  </si>
  <si>
    <t>• Uses dimensional matrix methods to model parallel QR runtime behaviour. ✅
• Analyses execution as a composition of compute and communication costs. 🟡</t>
  </si>
  <si>
    <t>• Builds a 3D efficiency surface for QR. ✅
• Enables comparison of performance across machines. ✅</t>
  </si>
  <si>
    <t>• Assumes idealized execution. 🟡
• Specific to dense QR factorization. 🟡</t>
  </si>
  <si>
    <t>• Apply to other linear algebra algorithms. 🟡
• Integrate with autotuning frameworks. 🟡</t>
  </si>
  <si>
    <t>• Dimensional matrix. ✅
• 3D efficiency surface. ✅
• Cross-platform comparison. 🟡</t>
  </si>
  <si>
    <t>Voyant Name</t>
  </si>
  <si>
    <t>DIMTHEO</t>
  </si>
  <si>
    <t>FORQUAN</t>
  </si>
  <si>
    <t>HWARCH</t>
  </si>
  <si>
    <t>COMPEFF</t>
  </si>
  <si>
    <t>PROCMOD</t>
  </si>
  <si>
    <t>Dimensional Analysis Python tool</t>
  </si>
  <si>
    <t>TOP-01</t>
  </si>
  <si>
    <t>dimensional, theorem, variables, array, physical, terms, pi, primary, problems, π</t>
  </si>
  <si>
    <t>Dimensional Analysis &amp; Theorems</t>
  </si>
  <si>
    <t>DIMTHEO - Dimensional Theory &amp; Mathematical Foundations</t>
  </si>
  <si>
    <t>Computational &amp; Processor Analysis between clusters</t>
  </si>
  <si>
    <t>TOP-02</t>
  </si>
  <si>
    <t>formula, forces, dimensional, quantities, surface, different, γ, work, bandwidth, power</t>
  </si>
  <si>
    <t>Forces &amp; Quantities</t>
  </si>
  <si>
    <t>FORQUAN - Forces &amp; Quantitative Measurements</t>
  </si>
  <si>
    <t>Dimensional Analysis &amp; Computational performance/efficiency</t>
  </si>
  <si>
    <t>TOP-03</t>
  </si>
  <si>
    <t>length, unit, force, hardware, byte, machines, dimensions, software, machine, quantity</t>
  </si>
  <si>
    <t>Hardware &amp; Machine Characteristics</t>
  </si>
  <si>
    <t>HWARCH - Hardware Architecture &amp; System Components</t>
  </si>
  <si>
    <t>Processor Models &amp; Forces in SAGE benchmark</t>
  </si>
  <si>
    <t>TOP-04</t>
  </si>
  <si>
    <t>analysis, parameters, computational, algorithm, matrix, processors, self, efficiency, units, paper</t>
  </si>
  <si>
    <t>Computational Analysis &amp; Efficiency</t>
  </si>
  <si>
    <t>COMPEFF - Computational Efficiency Analysis</t>
  </si>
  <si>
    <t>Analysis &amp; Forces in Linpack benchmark</t>
  </si>
  <si>
    <t>TOP-05</t>
  </si>
  <si>
    <t>processor, function, similar, communication, model, fraction, count, bc, cells, effects</t>
  </si>
  <si>
    <t>Processor Communication &amp; Models</t>
  </si>
  <si>
    <t>PROCMOD - Processor Models &amp; Communication Patterns</t>
  </si>
  <si>
    <t>Hardware &amp; Machines models using Dimensional Analysis</t>
  </si>
  <si>
    <t>CAT-01, CAT-02, CAT-03</t>
  </si>
  <si>
    <t>CAT-01, CAT-04</t>
  </si>
  <si>
    <t>CAT-01, CAT-02, CAT-04</t>
  </si>
  <si>
    <t>CAT-02, CAT-03, CAT-04</t>
  </si>
  <si>
    <t>AVAIL</t>
  </si>
  <si>
    <t>PUB/YR.</t>
  </si>
  <si>
    <t>PUB TOPICS</t>
  </si>
  <si>
    <t>DOC TYPES</t>
  </si>
  <si>
    <t>To summarize document's sections, including methodology, tools, results, insights, limitations and future work</t>
  </si>
  <si>
    <t>Create document mapping categories</t>
  </si>
  <si>
    <t>To create a keyword scheme from document content.</t>
  </si>
  <si>
    <t xml:space="preserve"> Classify documents</t>
  </si>
  <si>
    <t>Our documents use data from IEEE, ACM, SpringerLink, ASME, and ScienceDirect.</t>
  </si>
  <si>
    <t>Springer Link</t>
  </si>
  <si>
    <t>RELEVANT FEATURE</t>
  </si>
  <si>
    <t>TASK</t>
  </si>
  <si>
    <t>RATIONALE</t>
  </si>
  <si>
    <t>CNT @2024</t>
  </si>
  <si>
    <t>CNT @2020</t>
  </si>
  <si>
    <t>SD-01,
SD-04,
SMD-05, 
and SMD-02</t>
  </si>
  <si>
    <t>SD-01,
SD-02, 
and SD-03</t>
  </si>
  <si>
    <t>SD-01 ~ SD-10
 plus SMD-01 ~ SMD-06</t>
  </si>
  <si>
    <t>PUB YR</t>
  </si>
  <si>
    <t>RELV. DOC ID</t>
  </si>
  <si>
    <t>SC</t>
  </si>
  <si>
    <t>SELECT?</t>
  </si>
  <si>
    <t>TITLE</t>
  </si>
  <si>
    <t>AUTHOR</t>
  </si>
  <si>
    <t>VENUE</t>
  </si>
  <si>
    <t>TYPE</t>
  </si>
  <si>
    <t>SUMMARY</t>
  </si>
  <si>
    <t>KEY CONCEPTS</t>
  </si>
  <si>
    <t>REF CNT</t>
  </si>
  <si>
    <t>• Topics: Dimensional analysis and Pi theorem (74.95% topic focus, highest dimensional* frequency 0.0112)
• Methods: Implementation methodology using Python
• Tools: Python as primary implementation tool, focus on programming (key terms: python)</t>
  </si>
  <si>
    <t>• Topics: Dimensional analysis in parallel computing
• Methods: QR Algorithm application
• Tools: Focus on hardware/machines (42.86% hardware focus)</t>
  </si>
  <si>
    <t>• Topics: Parallel computing and machine similarity (highest machine* frequency 0.0097)
• Outcomes: Focus on analytical results (36.38% computational analysis, 36.29% processor analysis)</t>
  </si>
  <si>
    <t>• Topics: Performance analysis and Pi Theorem (32.86% dimensional theory)
• Methods: Analytical approaches (highest analysis frequency 0.0044)
• Outcomes: Mixed focus on computational results (28.95%)</t>
  </si>
  <si>
    <t>• Methods: Computational analysis methods
• Tools: SAGE benchmark system
• Outcomes: Focus on forces and processor models (42.57% processor models)</t>
  </si>
  <si>
    <t>• Methods: Computational force analysis
• Tools: Linpack benchmark system
• Outcomes: Mixed focus on analysis (37.71%) and forces (32.19%)</t>
  </si>
  <si>
    <t>TOPIC</t>
  </si>
  <si>
    <t>KEY TERMS</t>
  </si>
  <si>
    <t>SUGGESTED LABEL</t>
  </si>
  <si>
    <t>LABEL</t>
  </si>
  <si>
    <t>MAIN SUBJECT</t>
  </si>
  <si>
    <t>PRIMARY FOCUS</t>
  </si>
  <si>
    <t>DOC ID</t>
  </si>
  <si>
    <t>CATEGORIES</t>
  </si>
  <si>
    <t>• Python (SymPy, NumPy). ✅
• Jupyter Notebooks. ✅
• Classical five fluid mechanics examples (e.g., Reynolds number). ✅</t>
  </si>
  <si>
    <t>• Dimensional ratios. 🟡
• Data from SGI Altix XE1300 and IBM Blade Cluster. ✅
• Execution time tak breakdown (compute, memory, and communication). ✅
• Parallel Conjugate Gradient (CG) solver. ✅</t>
  </si>
  <si>
    <t>• Dimensional matrix construction. ✅
• Pi-group formulation. ✅
• Performance modelling. 🟡
• General system performance models (latency, cache behaviour, parallelism). ✅</t>
  </si>
  <si>
    <t>• Dimensional matrices. 🟡
• Curvilinear coordinates. 🟡
• Analytical expressions for weak scaling. 🟡
• SAGE benchmark (SAIC’s multidimensional hydrodynamics code with adaptive mesh refinement). 🟡</t>
  </si>
  <si>
    <t>• Dimensional reduction. ✅
• Force ratios. 🟡
• Benchmark data from ASCI Red, Cray XT3, and IBM Blue Gene/L. ✅
• Linpack benchmark (dense matrix factorization). ✅</t>
  </si>
  <si>
    <t>• Analytical decomposition of runtime model. ✅
• Dimensional algebra techniques. ✅
• Parallel QR factorization routines. ✅</t>
  </si>
  <si>
    <t>Presents a Python-based method to automatically compute dimensionless pi-groups from physical variables using Buckingham’s Pi theorem.</t>
  </si>
  <si>
    <t>Introduces the mixing coefficient to classify parallel machines by decomposing Conjugate Gradient (CG) solver runtime into compute, memory, and communication components for dimensionless comparison.</t>
  </si>
  <si>
    <t>Applies the Pi Theorem to computer performance problems to reveal dimensionless relationships that unify latency, bandwidth, cache behaviour, and parallel efficiency.</t>
  </si>
  <si>
    <t>Uses dimensional analysis to reduce the SAGE benchmark’s runtime model to a universal efficiency surface shaped by hardware and software force ratios.</t>
  </si>
  <si>
    <t>Applies the Pi Theorem to simplify Linpack’s runtime model and define four computational forces that shape a self-similarity surface for analysing performance.</t>
  </si>
  <si>
    <t>Uses Dimensional analysis to build a 3D efficiency surface from a parallel QR runtime model, enabling cross-platform performance comparisons.</t>
  </si>
  <si>
    <t>METHODS</t>
  </si>
  <si>
    <t>TOOLS</t>
  </si>
  <si>
    <t>RESULTS</t>
  </si>
  <si>
    <t>LIMITATIONS</t>
  </si>
  <si>
    <t>FUTURE DIRECTIONS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</si>
</sst>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name val="Aptos Narrow"/>
      <family val="2"/>
      <scheme val="minor"/>
    </font>
    <font>
      <sz val="8"/>
      <name val="Aptos Narrow"/>
      <family val="2"/>
      <scheme val="minor"/>
    </font>
    <font>
      <b/>
      <sz val="11"/>
      <color theme="1"/>
      <name val="Aptos Narrow"/>
      <family val="2"/>
      <scheme val="minor"/>
    </font>
    <font>
      <i/>
      <sz val="11"/>
      <color theme="1"/>
      <name val="Aptos Narrow"/>
      <family val="2"/>
      <scheme val="minor"/>
    </font>
    <font>
      <b/>
      <i/>
      <sz val="11"/>
      <color theme="1"/>
      <name val="Aptos Narrow"/>
      <family val="2"/>
      <scheme val="minor"/>
    </font>
    <font>
      <b/>
      <sz val="11"/>
      <color rgb="FF000000"/>
      <name val="Aptos Narrow"/>
      <family val="2"/>
      <scheme val="minor"/>
    </font>
    <font>
      <i/>
      <sz val="11"/>
      <name val="Aptos Narrow"/>
      <family val="2"/>
      <scheme val="minor"/>
    </font>
    <font>
      <b/>
      <sz val="11"/>
      <name val="Aptos Narrow"/>
      <family val="2"/>
      <scheme val="minor"/>
    </font>
    <font>
      <sz val="11"/>
      <color rgb="FF000000"/>
      <name val="Aptos Narrow"/>
      <family val="2"/>
      <scheme val="minor"/>
    </font>
    <font>
      <i/>
      <sz val="11"/>
      <color rgb="FF000000"/>
      <name val="Aptos Narrow"/>
      <family val="2"/>
      <scheme val="minor"/>
    </font>
    <font>
      <b/>
      <sz val="16"/>
      <color theme="1"/>
      <name val="Aptos Narrow"/>
      <family val="2"/>
      <scheme val="minor"/>
    </font>
    <font>
      <b/>
      <sz val="11"/>
      <color rgb="FF000000"/>
      <name val="Calibri"/>
      <family val="2"/>
    </font>
    <font>
      <sz val="11"/>
      <color rgb="FF9C5700"/>
      <name val="Aptos Narrow"/>
      <family val="2"/>
      <scheme val="minor"/>
    </font>
  </fonts>
  <fills count="4">
    <fill>
      <patternFill patternType="none"/>
    </fill>
    <fill>
      <patternFill patternType="gray125"/>
    </fill>
    <fill>
      <patternFill patternType="solid">
        <fgColor theme="8"/>
        <bgColor indexed="64"/>
      </patternFill>
    </fill>
    <fill>
      <patternFill patternType="solid">
        <fgColor rgb="FFFFEB9C"/>
      </patternFill>
    </fill>
  </fills>
  <borders count="7">
    <border>
      <left/>
      <right/>
      <top/>
      <bottom/>
      <diagonal/>
    </border>
    <border>
      <left/>
      <right/>
      <top/>
      <bottom style="thin">
        <color theme="1"/>
      </bottom>
      <diagonal/>
    </border>
    <border>
      <left/>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right/>
      <top/>
      <bottom style="thin">
        <color indexed="64"/>
      </bottom>
      <diagonal/>
    </border>
    <border>
      <left/>
      <right/>
      <top style="thin">
        <color rgb="FF000000"/>
      </top>
      <bottom style="thin">
        <color theme="1"/>
      </bottom>
      <diagonal/>
    </border>
  </borders>
  <cellStyleXfs count="2">
    <xf numFmtId="0" fontId="0" fillId="0" borderId="0"/>
    <xf numFmtId="0" fontId="13" fillId="3" borderId="0" applyNumberFormat="0" applyBorder="0" applyAlignment="0" applyProtection="0"/>
  </cellStyleXfs>
  <cellXfs count="48">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vertical="center" wrapText="1"/>
    </xf>
    <xf numFmtId="0" fontId="1" fillId="0" borderId="0" xfId="0" applyFont="1"/>
    <xf numFmtId="0" fontId="0" fillId="0" borderId="0" xfId="0" applyAlignment="1">
      <alignment horizontal="center" vertical="center" wrapText="1"/>
    </xf>
    <xf numFmtId="0" fontId="4" fillId="0" borderId="0" xfId="0" applyFont="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vertical="center"/>
    </xf>
    <xf numFmtId="2" fontId="0" fillId="0" borderId="0" xfId="0" applyNumberFormat="1" applyAlignment="1">
      <alignment horizontal="center" vertical="center"/>
    </xf>
    <xf numFmtId="2" fontId="5" fillId="0" borderId="0" xfId="0" applyNumberFormat="1" applyFont="1" applyAlignment="1">
      <alignment horizontal="center" vertical="center"/>
    </xf>
    <xf numFmtId="0" fontId="1"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8" fillId="0" borderId="0" xfId="0" applyFont="1" applyAlignment="1">
      <alignment horizontal="center" vertical="center"/>
    </xf>
    <xf numFmtId="0" fontId="7" fillId="0" borderId="0" xfId="0" applyFont="1" applyAlignment="1">
      <alignment horizontal="center" vertical="center" wrapText="1"/>
    </xf>
    <xf numFmtId="0" fontId="1" fillId="0" borderId="0" xfId="0" applyFont="1" applyAlignment="1">
      <alignment horizontal="left" vertical="center" wrapText="1"/>
    </xf>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0" fillId="2" borderId="0" xfId="0" applyFill="1" applyAlignment="1">
      <alignment horizontal="center" vertical="center" wrapText="1"/>
    </xf>
    <xf numFmtId="1" fontId="0" fillId="0" borderId="0" xfId="0" applyNumberFormat="1" applyAlignment="1">
      <alignment horizontal="center" vertical="center"/>
    </xf>
    <xf numFmtId="1" fontId="3" fillId="0" borderId="0" xfId="0" applyNumberFormat="1" applyFont="1" applyAlignment="1">
      <alignment horizontal="center" vertical="center"/>
    </xf>
    <xf numFmtId="0" fontId="3" fillId="0" borderId="5" xfId="0" applyFont="1" applyBorder="1" applyAlignment="1">
      <alignment horizontal="center" vertical="center"/>
    </xf>
    <xf numFmtId="2" fontId="3" fillId="0" borderId="5" xfId="0" applyNumberFormat="1" applyFont="1" applyBorder="1" applyAlignment="1">
      <alignment horizontal="center" vertical="center"/>
    </xf>
    <xf numFmtId="0" fontId="3" fillId="0" borderId="2" xfId="0" applyFont="1" applyBorder="1" applyAlignment="1">
      <alignment horizontal="center" vertical="center"/>
    </xf>
    <xf numFmtId="2" fontId="3" fillId="0" borderId="2" xfId="0" applyNumberFormat="1" applyFont="1" applyBorder="1" applyAlignment="1">
      <alignment horizontal="center" vertical="center"/>
    </xf>
    <xf numFmtId="0" fontId="0" fillId="0" borderId="1" xfId="0" applyBorder="1" applyAlignment="1">
      <alignment horizontal="center" vertical="center" wrapText="1"/>
    </xf>
    <xf numFmtId="0" fontId="3" fillId="0" borderId="6"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1" fontId="3" fillId="0" borderId="5" xfId="0" applyNumberFormat="1" applyFont="1" applyBorder="1" applyAlignment="1">
      <alignment horizontal="center" vertical="center"/>
    </xf>
    <xf numFmtId="1" fontId="3" fillId="0" borderId="2" xfId="0" applyNumberFormat="1" applyFont="1" applyBorder="1" applyAlignment="1">
      <alignment horizontal="center" vertical="center"/>
    </xf>
    <xf numFmtId="10" fontId="0" fillId="0" borderId="0" xfId="0" applyNumberFormat="1" applyAlignment="1">
      <alignment horizontal="center" vertical="center" wrapText="1"/>
    </xf>
    <xf numFmtId="10" fontId="0" fillId="0" borderId="0" xfId="0" applyNumberFormat="1" applyAlignment="1">
      <alignment horizontal="center" vertical="center"/>
    </xf>
    <xf numFmtId="0" fontId="0" fillId="0" borderId="0" xfId="0" applyAlignment="1">
      <alignment wrapText="1"/>
    </xf>
    <xf numFmtId="0" fontId="11" fillId="0" borderId="3" xfId="0" applyFont="1" applyBorder="1" applyAlignment="1">
      <alignment horizontal="center" vertical="center"/>
    </xf>
    <xf numFmtId="0" fontId="13" fillId="3" borderId="1" xfId="1" applyBorder="1" applyAlignment="1">
      <alignment horizontal="center" vertical="center" wrapText="1"/>
    </xf>
    <xf numFmtId="0" fontId="13" fillId="3" borderId="0" xfId="1" applyAlignment="1">
      <alignment horizontal="center" vertical="center" wrapText="1"/>
    </xf>
  </cellXfs>
  <cellStyles count="2">
    <cellStyle name="Neutral" xfId="1" builtinId="28"/>
    <cellStyle name="Normal" xfId="0" builtinId="0"/>
  </cellStyles>
  <dxfs count="186">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alignment horizontal="center" vertical="center" textRotation="0" wrapText="0" indent="0" justifyLastLine="0" shrinkToFit="0" readingOrder="0"/>
    </dxf>
    <dxf>
      <numFmt numFmtId="14" formatCode="0.00%"/>
      <fill>
        <patternFill patternType="none">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fill>
        <patternFill patternType="none">
          <bgColor auto="1"/>
        </patternFill>
      </fill>
      <alignment horizontal="center" vertical="center" textRotation="0" wrapText="0" indent="0" justifyLastLine="0" shrinkToFit="0" readingOrder="0"/>
    </dxf>
    <dxf>
      <alignment horizontal="general" vertical="bottom" textRotation="0" wrapText="1" indent="0" justifyLastLine="0" shrinkToFit="0" readingOrder="0"/>
    </dxf>
    <dxf>
      <numFmt numFmtId="14" formatCode="0.00%"/>
      <fill>
        <patternFill patternType="none">
          <bgColor auto="1"/>
        </patternFill>
      </fill>
      <alignment horizontal="center" vertical="center" textRotation="0" wrapText="1" indent="0" justifyLastLine="0" shrinkToFit="0" readingOrder="0"/>
    </dxf>
    <dxf>
      <alignment horizontal="general" vertical="bottom" textRotation="0" wrapText="1" indent="0" justifyLastLine="0" shrinkToFit="0" readingOrder="0"/>
    </dxf>
    <dxf>
      <numFmt numFmtId="14" formatCode="0.00%"/>
      <fill>
        <patternFill patternType="none">
          <bgColor auto="1"/>
        </patternFill>
      </fill>
      <alignment horizontal="center" vertical="center" textRotation="0" wrapText="1" indent="0" justifyLastLine="0" shrinkToFit="0" readingOrder="0"/>
    </dxf>
    <dxf>
      <alignment horizontal="general" vertical="bottom" textRotation="0" wrapText="1" indent="0" justifyLastLine="0" shrinkToFit="0" readingOrder="0"/>
    </dxf>
    <dxf>
      <numFmt numFmtId="14" formatCode="0.00%"/>
      <fill>
        <patternFill patternType="none">
          <bgColor auto="1"/>
        </patternFill>
      </fill>
      <alignment horizontal="center" vertical="center" textRotation="0" wrapText="1" indent="0" justifyLastLine="0" shrinkToFit="0" readingOrder="0"/>
    </dxf>
    <dxf>
      <alignment horizontal="center" vertical="center" textRotation="0" wrapText="0" indent="0" justifyLastLine="0" shrinkToFit="0" readingOrder="0"/>
    </dxf>
    <dxf>
      <font>
        <i/>
      </font>
      <fill>
        <patternFill patternType="none">
          <bgColor auto="1"/>
        </patternFill>
      </fill>
      <alignment horizontal="center" vertical="center" textRotation="0" wrapText="0" indent="0" justifyLastLine="0" shrinkToFit="0" readingOrder="0"/>
    </dxf>
    <dxf>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fgColor theme="0" tint="-0.14999847407452621"/>
          <bgColor auto="1"/>
        </patternFill>
      </fill>
      <alignment horizontal="center" vertical="center" textRotation="0" wrapText="1" indent="0" justifyLastLine="0" shrinkToFit="0" readingOrder="0"/>
    </dxf>
    <dxf>
      <font>
        <i/>
      </font>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general" vertical="center" textRotation="0" wrapText="1" indent="0" justifyLastLine="0" shrinkToFit="0" readingOrder="0"/>
    </dxf>
    <dxf>
      <fill>
        <patternFill patternType="none">
          <bgColor auto="1"/>
        </patternFill>
      </fill>
      <alignment horizontal="general" vertical="center" textRotation="0" wrapText="1" indent="0" justifyLastLine="0" shrinkToFit="0" readingOrder="0"/>
    </dxf>
    <dxf>
      <fill>
        <patternFill patternType="none">
          <bgColor auto="1"/>
        </patternFill>
      </fill>
      <alignment horizontal="center" vertical="center" textRotation="0" wrapText="0"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Aptos Narrow"/>
        <family val="2"/>
        <scheme val="minor"/>
      </font>
      <fill>
        <patternFill patternType="none">
          <bgColor auto="1"/>
        </patternFill>
      </fill>
      <alignment horizontal="center" vertical="center" textRotation="0" wrapText="1" indent="0" justifyLastLine="0" shrinkToFit="0" readingOrder="0"/>
    </dxf>
    <dxf>
      <border outline="0">
        <top style="thin">
          <color rgb="FF000000"/>
        </top>
      </border>
    </dxf>
    <dxf>
      <numFmt numFmtId="30" formatCode="@"/>
      <fill>
        <patternFill patternType="none">
          <bgColor auto="1"/>
        </patternFill>
      </fill>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Aptos Narrow"/>
        <family val="2"/>
        <scheme val="minor"/>
      </font>
      <numFmt numFmtId="30" formatCode="@"/>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general" vertical="center" textRotation="0" wrapText="1" indent="0" justifyLastLine="0" shrinkToFit="0" readingOrder="0"/>
    </dxf>
    <dxf>
      <fill>
        <patternFill patternType="none">
          <bgColor auto="1"/>
        </patternFill>
      </fill>
      <alignment horizontal="general" vertical="center" textRotation="0" wrapText="1" indent="0" justifyLastLine="0" shrinkToFit="0" readingOrder="0"/>
    </dxf>
    <dxf>
      <fill>
        <patternFill patternType="none">
          <bgColor auto="1"/>
        </patternFill>
      </fill>
      <alignment horizontal="general" vertical="center" textRotation="0" wrapText="1" indent="0" justifyLastLine="0" shrinkToFit="0" readingOrder="0"/>
    </dxf>
    <dxf>
      <fill>
        <patternFill patternType="none">
          <bgColor auto="1"/>
        </patternFill>
      </fill>
      <alignment horizontal="general" vertical="center" textRotation="0" wrapText="1" indent="0" justifyLastLine="0" shrinkToFit="0" readingOrder="0"/>
    </dxf>
    <dxf>
      <fill>
        <patternFill patternType="none">
          <bgColor auto="1"/>
        </patternFill>
      </fill>
      <alignment horizontal="general" vertical="center" textRotation="0" wrapText="1" indent="0" justifyLastLine="0" shrinkToFit="0" readingOrder="0"/>
    </dxf>
    <dxf>
      <fill>
        <patternFill patternType="none">
          <bgColor auto="1"/>
        </patternFill>
      </fill>
      <alignment horizontal="general" vertical="center" textRotation="0" wrapText="1" indent="0" justifyLastLine="0" shrinkToFit="0" readingOrder="0"/>
    </dxf>
    <dxf>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Aptos Narrow"/>
        <family val="2"/>
        <scheme val="minor"/>
      </font>
      <fill>
        <patternFill patternType="none">
          <bgColor auto="1"/>
        </patternFill>
      </fill>
      <alignment horizontal="center" vertical="center" textRotation="0" wrapText="1" indent="0" justifyLastLine="0" shrinkToFit="0" readingOrder="0"/>
    </dxf>
    <dxf>
      <border outline="0">
        <top style="thin">
          <color theme="1"/>
        </top>
      </border>
    </dxf>
    <dxf>
      <numFmt numFmtId="30" formatCode="@"/>
      <fill>
        <patternFill patternType="none">
          <bgColor auto="1"/>
        </patternFill>
      </fill>
      <alignment horizontal="general" vertical="center" textRotation="0" wrapText="1" indent="0" justifyLastLine="0" shrinkToFit="0" readingOrder="0"/>
    </dxf>
    <dxf>
      <border outline="0">
        <bottom style="thin">
          <color theme="1"/>
        </bottom>
      </border>
    </dxf>
    <dxf>
      <font>
        <b/>
        <i val="0"/>
        <strike val="0"/>
        <condense val="0"/>
        <extend val="0"/>
        <outline val="0"/>
        <shadow val="0"/>
        <u val="none"/>
        <vertAlign val="baseline"/>
        <sz val="11"/>
        <color theme="1"/>
        <name val="Aptos Narrow"/>
        <family val="2"/>
        <scheme val="minor"/>
      </font>
      <numFmt numFmtId="30" formatCode="@"/>
      <fill>
        <patternFill patternType="none">
          <bgColor auto="1"/>
        </patternFill>
      </fil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0.000"/>
      <alignment horizontal="center" vertical="center" textRotation="0" wrapText="0" indent="0" justifyLastLine="0" shrinkToFit="0" readingOrder="0"/>
    </dxf>
    <dxf>
      <numFmt numFmtId="2" formatCode="0.00"/>
      <alignment horizontal="center" vertical="center" textRotation="0" indent="0" justifyLastLine="0" shrinkToFit="0" readingOrder="0"/>
    </dxf>
    <dxf>
      <numFmt numFmtId="164" formatCode="0.000"/>
      <alignment horizontal="center" vertical="center" textRotation="0" wrapText="0" indent="0" justifyLastLine="0" shrinkToFit="0" readingOrder="0"/>
    </dxf>
    <dxf>
      <numFmt numFmtId="2" formatCode="0.00"/>
      <alignment horizontal="center" vertical="center" textRotation="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indent="0" justifyLastLine="0" shrinkToFit="0" readingOrder="0"/>
    </dxf>
    <dxf>
      <font>
        <b/>
        <i val="0"/>
        <strike val="0"/>
        <condense val="0"/>
        <extend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font>
        <i/>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i/>
      </font>
      <numFmt numFmtId="2" formatCode="0.00"/>
      <alignment horizontal="center" vertical="center" textRotation="0" wrapText="0" indent="0" justifyLastLine="0" shrinkToFit="0" readingOrder="0"/>
    </dxf>
    <dxf>
      <numFmt numFmtId="2" formatCode="0.00"/>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center" vertical="center" textRotation="0" wrapText="1" indent="0" justifyLastLine="0" shrinkToFit="0" readingOrder="0"/>
      <border diagonalUp="0" diagonalDown="0" outline="0">
        <left/>
        <right/>
        <top/>
        <bottom style="thin">
          <color theme="1"/>
        </bottom>
      </border>
    </dxf>
    <dxf>
      <font>
        <i/>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dxf>
    <dxf>
      <font>
        <i/>
      </font>
      <fill>
        <patternFill patternType="none">
          <bgColor auto="1"/>
        </patternFill>
      </fill>
      <alignment horizontal="center" vertical="center" textRotation="0" wrapText="1" indent="0" justifyLastLine="0" shrinkToFit="0" readingOrder="0"/>
    </dxf>
    <dxf>
      <border outline="0">
        <top style="thin">
          <color rgb="FF000000"/>
        </top>
      </border>
    </dxf>
    <dxf>
      <fill>
        <patternFill patternType="none">
          <bgColor auto="1"/>
        </patternFill>
      </fill>
      <alignment horizontal="center" vertical="center" textRotation="0" indent="0" justifyLastLine="0" shrinkToFit="0" readingOrder="0"/>
    </dxf>
    <dxf>
      <border outline="0">
        <bottom style="thin">
          <color rgb="FF000000"/>
        </bottom>
      </border>
    </dxf>
    <dxf>
      <font>
        <b/>
        <i val="0"/>
        <strike val="0"/>
        <condense val="0"/>
        <extend val="0"/>
        <outline val="0"/>
        <shadow val="0"/>
        <u val="none"/>
        <vertAlign val="baseline"/>
        <sz val="11"/>
        <color theme="1"/>
        <name val="Aptos Narrow"/>
        <family val="2"/>
        <scheme val="minor"/>
      </font>
      <fill>
        <patternFill patternType="none">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i/>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indent="0" justifyLastLine="0" shrinkToFit="0" readingOrder="0"/>
    </dxf>
    <dxf>
      <border outline="0">
        <bottom style="double">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indent="0" justifyLastLine="0" shrinkToFit="0" readingOrder="0"/>
    </dxf>
    <dxf>
      <border outline="0">
        <bottom style="double">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9"/>
        <color auto="1"/>
        <name val="Calibri"/>
        <family val="2"/>
        <scheme val="none"/>
      </font>
      <fill>
        <patternFill patternType="none">
          <fgColor indexed="64"/>
          <bgColor indexed="65"/>
        </patternFill>
      </fill>
      <alignment horizontal="center" vertical="center" textRotation="0" wrapText="0" indent="0" justifyLastLine="0" shrinkToFit="0" readingOrder="0"/>
    </dxf>
    <dxf>
      <font>
        <b val="0"/>
        <i/>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fill>
        <patternFill patternType="none">
          <fgColor indexed="64"/>
          <bgColor auto="1"/>
        </patternFill>
      </fill>
    </dxf>
    <dxf>
      <font>
        <strike val="0"/>
        <outline val="0"/>
        <shadow val="0"/>
        <u val="none"/>
        <vertAlign val="baseline"/>
        <sz val="11"/>
        <name val="Aptos Narrow"/>
        <family val="2"/>
        <scheme val="minor"/>
      </font>
      <fill>
        <patternFill patternType="none">
          <fgColor indexed="64"/>
          <bgColor auto="1"/>
        </patternFill>
      </fill>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left" vertical="center" textRotation="0" wrapText="1" indent="0" justifyLastLine="0" shrinkToFit="0" readingOrder="0"/>
    </dxf>
    <dxf>
      <font>
        <b val="0"/>
        <i/>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rgb="FF000000"/>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Aptos Narrow"/>
        <family val="2"/>
        <scheme val="minor"/>
      </font>
      <fill>
        <patternFill patternType="none">
          <fgColor indexed="64"/>
          <bgColor auto="1"/>
        </patternFill>
      </fill>
    </dxf>
    <dxf>
      <font>
        <strike val="0"/>
        <outline val="0"/>
        <shadow val="0"/>
        <u val="none"/>
        <vertAlign val="baseline"/>
        <sz val="11"/>
        <name val="Aptos Narrow"/>
        <family val="2"/>
        <scheme val="minor"/>
      </font>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alignment horizontal="left" vertical="center" textRotation="0" wrapText="1" indent="0" justifyLastLine="0" shrinkToFit="0" readingOrder="0"/>
    </dxf>
    <dxf>
      <font>
        <b val="0"/>
        <i/>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dxf>
    <dxf>
      <border outline="0">
        <top style="medium">
          <color rgb="FF000000"/>
        </top>
        <bottom style="medium">
          <color rgb="FF000000"/>
        </bottom>
      </border>
    </dxf>
    <dxf>
      <font>
        <strike val="0"/>
        <outline val="0"/>
        <shadow val="0"/>
        <u val="none"/>
        <vertAlign val="baseline"/>
        <sz val="11"/>
        <color auto="1"/>
        <name val="Aptos Narrow"/>
        <family val="2"/>
        <scheme val="minor"/>
      </font>
      <fill>
        <patternFill patternType="none">
          <fgColor indexed="64"/>
          <bgColor auto="1"/>
        </patternFill>
      </fill>
    </dxf>
    <dxf>
      <border outline="0">
        <bottom style="medium">
          <color rgb="FF000000"/>
        </bottom>
      </border>
    </dxf>
    <dxf>
      <font>
        <strike val="0"/>
        <outline val="0"/>
        <shadow val="0"/>
        <u val="none"/>
        <vertAlign val="baseline"/>
        <sz val="11"/>
        <color auto="1"/>
        <name val="Aptos Narrow"/>
        <family val="2"/>
        <scheme val="minor"/>
      </font>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general" vertical="center" textRotation="0" wrapText="1" indent="0" justifyLastLine="0" shrinkToFit="0" readingOrder="0"/>
    </dxf>
    <dxf>
      <font>
        <b val="0"/>
        <i/>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Santiago Felipe Arteaga Martin" id="{7FAA29A5-9C21-4AC8-9263-BF9D2E9E6181}" userId="S::sa-artea@uniandes.edu.co::fe5ae3a7-ca5b-4410-8a64-8ee3665295b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5B1193-6F9C-4403-86A3-65F2C3670ECC}" name="Table1" displayName="Table1" ref="B2:E10" totalsRowShown="0" headerRowDxfId="185" dataDxfId="184">
  <autoFilter ref="B2:E10" xr:uid="{255B1193-6F9C-4403-86A3-65F2C3670ECC}"/>
  <tableColumns count="4">
    <tableColumn id="1" xr3:uid="{1271F805-1009-4B1C-B72A-A41788242502}" name="CONNECTOR" dataDxfId="183"/>
    <tableColumn id="2" xr3:uid="{D947273F-EECC-41B7-B7D0-B1F0839E20BF}" name="DEFINITION" dataDxfId="182"/>
    <tableColumn id="3" xr3:uid="{03745BDE-4287-4430-A3BC-D1DBA7CABC93}" name="ROLES" dataDxfId="181"/>
    <tableColumn id="4" xr3:uid="{C05855C9-E48B-43BE-892B-0C9B6D5FE60B}" name="EXAMPLES" dataDxfId="180"/>
  </tableColumns>
  <tableStyleInfo name="TableStyleLight1"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E1B77D-84C2-4784-B877-89C5C9ED99B9}" name="Table3" displayName="Table3" ref="B3:D22" totalsRowShown="0" headerRowDxfId="179" dataDxfId="177" headerRowBorderDxfId="178" tableBorderDxfId="176">
  <autoFilter ref="B3:D22" xr:uid="{8FE1B77D-84C2-4784-B877-89C5C9ED99B9}">
    <filterColumn colId="0" hiddenButton="1"/>
    <filterColumn colId="1" hiddenButton="1"/>
    <filterColumn colId="2" hiddenButton="1"/>
  </autoFilter>
  <tableColumns count="3">
    <tableColumn id="1" xr3:uid="{AD143ABF-4376-4D42-8672-FE56CC097F55}" name="ID" dataDxfId="175"/>
    <tableColumn id="4" xr3:uid="{FE4C3B40-2081-4C10-92CD-3A6C491A575B}" name="NAME" dataDxfId="174"/>
    <tableColumn id="5" xr3:uid="{77287B5D-2072-4FE1-945B-D00DB348875F}" name="DESCRIPTION" dataDxfId="173"/>
  </tableColumns>
  <tableStyleInfo name="TableStyleLight1"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73E322-88C1-47D0-842B-AC782D017BB5}" name="Table4" displayName="Table4" ref="B2:D5" totalsRowShown="0" headerRowDxfId="172" dataDxfId="171">
  <autoFilter ref="B2:D5" xr:uid="{C373E322-88C1-47D0-842B-AC782D017BB5}"/>
  <tableColumns count="3">
    <tableColumn id="1" xr3:uid="{A669D593-BBE5-4EF1-B600-EEDDC726CD92}" name="ID" dataDxfId="170"/>
    <tableColumn id="2" xr3:uid="{081928FF-8D40-4F5A-AB1E-FBDE07DF523A}" name="NAME" dataDxfId="169"/>
    <tableColumn id="3" xr3:uid="{1A92C6F3-BFC4-48CC-893A-B77FE60807D4}" name="DESCRIPTION" dataDxfId="168"/>
  </tableColumns>
  <tableStyleInfo name="TableStyleLight1"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1FE57B-3E37-41E7-8183-E051688619AF}" name="Table6" displayName="Table6" ref="B2:D14" totalsRowShown="0" headerRowDxfId="167" dataDxfId="166">
  <autoFilter ref="B2:D14" xr:uid="{B01FE57B-3E37-41E7-8183-E051688619AF}"/>
  <tableColumns count="3">
    <tableColumn id="1" xr3:uid="{AA9A7E42-7CC6-4414-891E-04076D1C0E7F}" name="ID" dataDxfId="165"/>
    <tableColumn id="2" xr3:uid="{649C43B2-2029-4D9B-B49B-7E9EA05013D2}" name="NAME" dataDxfId="164"/>
    <tableColumn id="3" xr3:uid="{46D00A8C-AB46-4A05-BC81-FB363D21024F}" name="DESCRIPTION" dataDxfId="163"/>
  </tableColumns>
  <tableStyleInfo name="TableStyleLight1"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D462CA-982A-4210-899B-31F541BFF8ED}" name="Table5" displayName="Table5" ref="B2:D5" totalsRowShown="0" headerRowDxfId="162" dataDxfId="161">
  <autoFilter ref="B2:D5" xr:uid="{07D462CA-982A-4210-899B-31F541BFF8ED}"/>
  <tableColumns count="3">
    <tableColumn id="1" xr3:uid="{9BD1B821-BC19-4BDA-A121-1E7DB44BD82B}" name="ID" dataDxfId="160"/>
    <tableColumn id="2" xr3:uid="{8793CF01-509F-4DFD-ACD7-6A9F1D9781A9}" name="NAME" dataDxfId="159"/>
    <tableColumn id="3" xr3:uid="{3EE6F8E0-AC50-48A6-BEE2-042ECB781257}" name="DESCRIPTION" dataDxfId="158"/>
  </tableColumns>
  <tableStyleInfo name="TableStyleLight1" showFirstColumn="1"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BED044-F3A7-48CC-BA30-6CC5A6DDAC60}" name="Table2" displayName="Table2" ref="B2:E7" headerRowDxfId="157" dataDxfId="156" totalsRowDxfId="155">
  <autoFilter ref="B2:E7" xr:uid="{D8BED044-F3A7-48CC-BA30-6CC5A6DDAC60}"/>
  <tableColumns count="4">
    <tableColumn id="1" xr3:uid="{87FFB569-4F30-4D34-B7E8-60248EE8F903}" name=" SOURCE" totalsRowLabel="Total" dataDxfId="154" totalsRowDxfId="153"/>
    <tableColumn id="2" xr3:uid="{6CABAC93-BE18-4ADF-B923-56E9E74FD838}" name="SEARCH STRING" dataDxfId="152" totalsRowDxfId="151"/>
    <tableColumn id="3" xr3:uid="{B470C632-EC62-43D6-9DEC-C3339825B352}" name="PERIOD" dataDxfId="150" totalsRowDxfId="149"/>
    <tableColumn id="4" xr3:uid="{A43F36B1-E24A-4D94-95ED-6660C476A2D4}" name="SORT BY" totalsRowFunction="count" dataDxfId="148" totalsRowDxfId="147"/>
  </tableColumns>
  <tableStyleInfo name="TableStyleLight1" showFirstColumn="1"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FF44028-FE96-4134-92C0-35D932C8AB0C}" name="Table12" displayName="Table12" ref="B2:D6" totalsRowShown="0">
  <autoFilter ref="B2:D6" xr:uid="{F1A81424-782A-42DE-B679-B20BB42AAEDA}"/>
  <tableColumns count="3">
    <tableColumn id="1" xr3:uid="{A6B67EBC-DAC3-4AEF-8DDB-3588AE14641B}" name="ID" dataDxfId="146"/>
    <tableColumn id="2" xr3:uid="{1CFED562-25EF-4D31-8FA2-63FB9C4597E3}" name="CATEGORY" dataDxfId="145"/>
    <tableColumn id="3" xr3:uid="{433BDD00-8A10-436A-9942-15E0528E5711}" name="DESCRIPTION" dataDxfId="144"/>
  </tableColumns>
  <tableStyleInfo name="TableStyleLight1" showFirstColumn="1"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193DDDA-017D-453B-9A99-EDA78256304D}" name="Table1019269" displayName="Table1019269" ref="B3:G9" totalsRowCount="1" headerRowDxfId="143" dataDxfId="141" totalsRowDxfId="140" headerRowBorderDxfId="142">
  <autoFilter ref="B3:G8" xr:uid="{4193DDDA-017D-453B-9A99-EDA78256304D}"/>
  <sortState xmlns:xlrd2="http://schemas.microsoft.com/office/spreadsheetml/2017/richdata2" ref="B4:K8">
    <sortCondition ref="B4:B9"/>
  </sortState>
  <tableColumns count="6">
    <tableColumn id="1" xr3:uid="{11CA10AD-408E-4DFF-9ED6-B34055529398}" name="SOURCE" totalsRowLabel="SUM" dataDxfId="139" totalsRowDxfId="138"/>
    <tableColumn id="2" xr3:uid="{A8D0FB50-72D4-44EC-9168-2DD6480A6C60}" name="TALLY" totalsRowFunction="sum" dataDxfId="137" totalsRowDxfId="136"/>
    <tableColumn id="3" xr3:uid="{F074C68B-3AB3-4CB0-B74E-60798D68A4D7}" name="AVAIL" totalsRowFunction="sum" dataDxfId="135" totalsRowDxfId="134"/>
    <tableColumn id="6" xr3:uid="{AA386EFE-DCAE-4668-89A6-ABE38803CAD8}" name="PUB/YR." dataDxfId="133" totalsRowDxfId="132"/>
    <tableColumn id="13" xr3:uid="{2AC77787-916B-41AC-BA7B-78EE86C40840}" name="DOC TYPES" dataDxfId="131" totalsRowDxfId="130"/>
    <tableColumn id="12" xr3:uid="{2528AF18-54DC-4B14-80B0-936838211E00}" name="PUB TOPICS" dataDxfId="129" totalsRowDxfId="128"/>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3D487B4-78F8-4FDD-BE10-506515F13F37}" name="Table1019261615" displayName="Table1019261615" ref="B12:G18" totalsRowCount="1" headerRowDxfId="127" dataDxfId="125" totalsRowDxfId="124" headerRowBorderDxfId="126">
  <autoFilter ref="B12:G17" xr:uid="{A3D487B4-78F8-4FDD-BE10-506515F13F37}"/>
  <sortState xmlns:xlrd2="http://schemas.microsoft.com/office/spreadsheetml/2017/richdata2" ref="B13:K17">
    <sortCondition ref="B4:B9"/>
  </sortState>
  <tableColumns count="6">
    <tableColumn id="1" xr3:uid="{11055298-BC97-4D39-874B-987F85E5F48B}" name="SOURCE" totalsRowLabel="SUM" dataDxfId="123" totalsRowDxfId="122"/>
    <tableColumn id="2" xr3:uid="{92CE17B7-AC70-4C05-9FB6-B40C534703A0}" name="TALLY" totalsRowFunction="sum" dataDxfId="121" totalsRowDxfId="120"/>
    <tableColumn id="3" xr3:uid="{DBC07B72-E055-4FA9-BE9E-84C9A95C9674}" name="AVAIL" totalsRowFunction="sum" dataDxfId="119" totalsRowDxfId="118"/>
    <tableColumn id="6" xr3:uid="{A7FFC722-0544-47FC-A288-829E1A6A2B97}" name="PUB/YR." dataDxfId="117" totalsRowDxfId="116"/>
    <tableColumn id="13" xr3:uid="{2F0157C1-6D19-49F1-A8C0-95FFC423C282}" name="DOC TYPES" dataDxfId="115" totalsRowDxfId="114"/>
    <tableColumn id="12" xr3:uid="{5B87CA99-2D3E-426D-A238-94BB036B3EE6}" name="PUB TOPICS" dataDxfId="113" totalsRowDxfId="11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61BADF6-B851-4C32-B3C2-B98F8C189C70}" name="Table15" displayName="Table15" ref="B2:G19" totalsRowShown="0" headerRowDxfId="111" dataDxfId="110">
  <autoFilter ref="B2:G19" xr:uid="{161BADF6-B851-4C32-B3C2-B98F8C189C70}"/>
  <tableColumns count="6">
    <tableColumn id="1" xr3:uid="{658A1180-F97A-4511-B827-DE14D9EB9412}" name="TASK" dataDxfId="109"/>
    <tableColumn id="2" xr3:uid="{51238D35-50B1-4C19-BCC2-D7799DEAD97F}" name="RELEVANT FEATURE" dataDxfId="108"/>
    <tableColumn id="3" xr3:uid="{C70B6867-7CB0-49CD-8C3F-63AD29263BEB}" name="DESCRIPTION" dataDxfId="107"/>
    <tableColumn id="4" xr3:uid="{889E48CE-43DC-4D9D-B233-6712EBB0E837}" name="RATIONALE" dataDxfId="106"/>
    <tableColumn id="5" xr3:uid="{7F19EC22-9AF7-4452-9E9C-591575D69B62}" name="CNT @2024" dataDxfId="105"/>
    <tableColumn id="6" xr3:uid="{7AE448E4-9D8E-4C14-9C82-B44190B37C22}" name="CNT @2020" dataDxfId="104"/>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DE32A35-493F-450A-A281-E6185FC5298F}" name="Table2529" displayName="Table2529" ref="B2:M10" totalsRowShown="0" headerRowDxfId="103" dataDxfId="101" headerRowBorderDxfId="102" tableBorderDxfId="100">
  <autoFilter ref="B2:M10" xr:uid="{DDE32A35-493F-450A-A281-E6185FC5298F}"/>
  <tableColumns count="12">
    <tableColumn id="1" xr3:uid="{114F478D-76C5-4F4D-B658-4B29FBFE4389}" name="Key" dataDxfId="99"/>
    <tableColumn id="3" xr3:uid="{C97195E2-640A-4478-B3CB-5F9E203FFC1E}" name="Document Title" dataDxfId="98"/>
    <tableColumn id="2" xr3:uid="{55DA77DA-7056-44C5-94C0-7EFFA35F22FE}" name="RELV. DOC ID" dataDxfId="97"/>
    <tableColumn id="4" xr3:uid="{400C926B-77CB-4FEB-BF00-38A187201979}" name="PUB YR" dataDxfId="96"/>
    <tableColumn id="5" xr3:uid="{66B476CB-CC10-402C-9AEA-191712F0D2D8}" name="QF-01" dataDxfId="95"/>
    <tableColumn id="7" xr3:uid="{6502F183-BAAF-495F-B672-25FAAECE5556}" name="QF-02" dataDxfId="94"/>
    <tableColumn id="8" xr3:uid="{C60D00C0-5816-46AA-82F3-E04F053A5D8A}" name="QF-03" dataDxfId="93"/>
    <tableColumn id="9" xr3:uid="{A48919F8-960C-4AA3-A500-2C0B5D4C7D6B}" name="QF-04" dataDxfId="92"/>
    <tableColumn id="20" xr3:uid="{A4FAB541-04D6-422F-9E79-8350A523C104}" name="QF-05" dataDxfId="91"/>
    <tableColumn id="10" xr3:uid="{30896B31-096C-4440-A156-25321BA52493}" name="QF-06" dataDxfId="90"/>
    <tableColumn id="12" xr3:uid="{9D1677DC-7449-4DB9-9588-7F6AFBE88A12}" name="SC" dataDxfId="89">
      <calculatedColumnFormula>SUM(COUNTIF(Table2529[[#This Row],[QF-01]:[QF-06]],"YES"),COUNTIF(Table2529[[#This Row],[QF-01]:[QF-06]],"PARTIALLY")/2,COUNTIF(Table2529[[#This Row],[QF-01]:[QF-06]],"YES/NO"))/COUNTA(Table2529[[#This Row],[QF-01]:[QF-06]])</calculatedColumnFormula>
    </tableColumn>
    <tableColumn id="15" xr3:uid="{82B82A65-B098-489C-A011-19F0E9CE0010}" name="SELECT?" dataDxfId="88" dataCellStyle="Normal">
      <calculatedColumnFormula>IF(Table2529[[#This Row],[SC]]&gt;0.7, "YES", "NO")</calculatedColumnFormula>
    </tableColumn>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9C71F82-8F83-4F26-B006-10825967667A}" name="Table101626" displayName="Table101626" ref="B2:J9" totalsRowCount="1" headerRowDxfId="87" dataDxfId="86">
  <autoFilter ref="B2:J8" xr:uid="{D9C71F82-8F83-4F26-B006-10825967667A}"/>
  <sortState xmlns:xlrd2="http://schemas.microsoft.com/office/spreadsheetml/2017/richdata2" ref="B3:H5">
    <sortCondition ref="D2:D5"/>
  </sortState>
  <tableColumns count="9">
    <tableColumn id="1" xr3:uid="{88B007F4-2325-456A-9CF5-52D54BFBA013}" name="Voyant Title" dataDxfId="85" totalsRowDxfId="84"/>
    <tableColumn id="8" xr3:uid="{78708444-0E34-4DFB-9F4E-6DEBD2AC9DF4}" name="Document Title" dataDxfId="83" totalsRowDxfId="82"/>
    <tableColumn id="7" xr3:uid="{4C5009EB-2261-4864-9AFE-696995BA8887}" name="ID" totalsRowLabel="Average" dataDxfId="81" totalsRowDxfId="80"/>
    <tableColumn id="2" xr3:uid="{7BE8BA2C-D7C8-4F42-8853-A465DAD60B01}" name="Words" totalsRowFunction="average" dataDxfId="79" totalsRowDxfId="78"/>
    <tableColumn id="3" xr3:uid="{C53C7CD7-5B12-43F8-AEE6-3632FC30E1E0}" name="Types" totalsRowFunction="average" dataDxfId="77" totalsRowDxfId="76"/>
    <tableColumn id="4" xr3:uid="{BDBEF8BC-9273-4153-972F-9D650846BE2A}" name="Ratio" totalsRowFunction="average" dataDxfId="75" totalsRowDxfId="74">
      <calculatedColumnFormula>Table101626[[#This Row],[Types]]/Table101626[[#This Row],[Words]]</calculatedColumnFormula>
    </tableColumn>
    <tableColumn id="5" xr3:uid="{5274E139-AB40-4C9D-B376-6544FC601BDB}" name="Words/Sentence" totalsRowFunction="average" dataDxfId="73" totalsRowDxfId="72"/>
    <tableColumn id="6" xr3:uid="{CF001FDD-6195-4872-B146-A74D04F3C003}" name="Readability Index" totalsRowFunction="average" dataDxfId="71" totalsRowDxfId="70"/>
    <tableColumn id="9" xr3:uid="{E1947C31-D203-440A-9117-CCB5FF84E9B0}" name="Comment" dataDxfId="69" totalsRowDxfId="68"/>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846D4-5D22-43C5-BBB6-70EDC307FDC8}" name="Table8" displayName="Table8" ref="L2:P7" totalsRowShown="0" headerRowDxfId="38" dataDxfId="37">
  <autoFilter ref="L2:P7" xr:uid="{C6A846D4-5D22-43C5-BBB6-70EDC307FDC8}"/>
  <tableColumns count="5">
    <tableColumn id="1" xr3:uid="{A52B51C8-5A3B-4257-A029-8AC017519ADA}" name="TOPIC" dataDxfId="36"/>
    <tableColumn id="2" xr3:uid="{C0A7C5C6-989F-4799-B07D-425DCC9FCA68}" name="KEY TERMS" dataDxfId="35"/>
    <tableColumn id="3" xr3:uid="{C89CC8F9-ADC4-4AE7-8584-28972063F709}" name="MAIN SUBJECT" dataDxfId="34"/>
    <tableColumn id="4" xr3:uid="{50301F86-37C0-476E-92C6-CCCC667937A1}" name="SUGGESTED LABEL" dataDxfId="33"/>
    <tableColumn id="7" xr3:uid="{A05841CD-2DD7-4BAE-B6F5-3B3E7DCD9536}" name="LABEL" dataDxfId="32"/>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3A63E3D-3794-4A0E-8DC1-254E0EEF5061}" name="Table17" displayName="Table17" ref="B2:J8" totalsRowShown="0" headerRowDxfId="31" dataDxfId="30">
  <autoFilter ref="B2:J8" xr:uid="{93A63E3D-3794-4A0E-8DC1-254E0EEF5061}"/>
  <sortState xmlns:xlrd2="http://schemas.microsoft.com/office/spreadsheetml/2017/richdata2" ref="B3:J8">
    <sortCondition ref="D2:D8"/>
  </sortState>
  <tableColumns count="9">
    <tableColumn id="1" xr3:uid="{F7C09906-EC6C-482A-A2EA-7445D2130AB1}" name="Voyant Name" dataDxfId="29" totalsRowDxfId="28"/>
    <tableColumn id="3" xr3:uid="{E9DE1CDE-17D5-4D5E-BA86-51B60A34D2FB}" name="Title" dataDxfId="27" totalsRowDxfId="26"/>
    <tableColumn id="11" xr3:uid="{371CAC48-1F3E-438C-A579-6689560ACCBA}" name="ID" dataDxfId="25" totalsRowDxfId="24"/>
    <tableColumn id="4" xr3:uid="{9A1FEE30-6A60-4BB0-BF67-9CFB9A1E08E6}" name="DIMTHEO" dataDxfId="23" totalsRowDxfId="22"/>
    <tableColumn id="5" xr3:uid="{75473AF3-528C-478E-915E-743BB4C4DED2}" name="FORQUAN" dataDxfId="21" totalsRowDxfId="20"/>
    <tableColumn id="6" xr3:uid="{D139A9DD-1C78-4AF1-956C-EA925012BAD2}" name="HWARCH" dataDxfId="19" totalsRowDxfId="18"/>
    <tableColumn id="7" xr3:uid="{B9C0990B-20C1-43E9-9099-0D1C83850515}" name="COMPEFF" dataDxfId="17" totalsRowDxfId="16"/>
    <tableColumn id="8" xr3:uid="{DA3DBB8A-AC85-410B-9AF5-3FB3DA8B6CD7}" name="PROCMOD" dataDxfId="15" totalsRowDxfId="14"/>
    <tableColumn id="9" xr3:uid="{23BB2A2B-FA3F-40A6-99F0-57CFE9003BC4}" name="PRIMARY FOCUS" dataDxfId="13" totalsRowDxfId="12"/>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E099E4-9435-4128-9FC9-18AA6374185A}" name="Table20" displayName="Table20" ref="B2:E8" totalsRowShown="0" headerRowDxfId="11" dataDxfId="10">
  <autoFilter ref="B2:E8" xr:uid="{F7E099E4-9435-4128-9FC9-18AA6374185A}"/>
  <tableColumns count="4">
    <tableColumn id="1" xr3:uid="{B63BB0B0-9E3A-4676-8E9A-CEEAB3C341C8}" name="DOC ID" dataDxfId="9"/>
    <tableColumn id="2" xr3:uid="{F06164C5-C5CB-432E-9541-6004387795B7}" name="TITLE" dataDxfId="8"/>
    <tableColumn id="3" xr3:uid="{AB9BC6EE-95A4-4FAE-A7EE-1867F160CFAF}" name="CATEGORIES" dataDxfId="7"/>
    <tableColumn id="4" xr3:uid="{33DA5015-ECD6-4E0E-8E17-318431BD994C}" name="RATIONALE" dataDxfId="6"/>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6FAA3A-FADC-4A9D-96D3-A7EFFC505B65}" name="Table710" displayName="Table710" ref="B2:K8" totalsRowShown="0" headerRowDxfId="52" dataDxfId="50" headerRowBorderDxfId="51" tableBorderDxfId="49">
  <autoFilter ref="B2:K8" xr:uid="{3DEAA6B6-9198-4ED2-9E8A-70B204DE32D4}"/>
  <tableColumns count="10">
    <tableColumn id="1" xr3:uid="{47C4024D-AEB5-4E9C-9450-6CDF8829C3C3}" name="ID" dataDxfId="48"/>
    <tableColumn id="2" xr3:uid="{4BE15B38-77FE-4797-AD0F-D4A1DE03E73C}" name="SOURCE" dataDxfId="47"/>
    <tableColumn id="4" xr3:uid="{E50281CA-7FE1-44B6-B8CA-EC677BAA5C27}" name="TITLE" dataDxfId="46"/>
    <tableColumn id="5" xr3:uid="{99E19774-3A65-490A-A9A2-2D92F082A478}" name="AUTHOR" dataDxfId="45"/>
    <tableColumn id="6" xr3:uid="{C06597F0-0259-4B1E-AAA2-6F95A668A63F}" name="PUB YR" dataDxfId="44"/>
    <tableColumn id="8" xr3:uid="{595E13DB-5145-41EC-B911-751E2D4A45F0}" name="VENUE" dataDxfId="43"/>
    <tableColumn id="10" xr3:uid="{1F50FEC0-AE55-466A-A8EE-8029673083D8}" name="TYPE" dataDxfId="42"/>
    <tableColumn id="15" xr3:uid="{CA099B9C-DC9A-4639-88E8-B5E017392E98}" name="SUMMARY" dataDxfId="41"/>
    <tableColumn id="22" xr3:uid="{CF5B1BDF-9E4A-47BA-BF40-F54141D4DEA9}" name="KEY CONCEPTS" dataDxfId="40"/>
    <tableColumn id="23" xr3:uid="{04B52BBB-4F73-455D-B4AE-2383AAD438CE}" name="REF CNT" dataDxfId="39"/>
  </tableColumns>
  <tableStyleInfo name="TableStyleLight1"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EAA6B6-9198-4ED2-9E8A-70B204DE32D4}" name="Table7" displayName="Table7" ref="B2:L8" totalsRowShown="0" headerRowDxfId="67" dataDxfId="65" headerRowBorderDxfId="66" tableBorderDxfId="64">
  <autoFilter ref="B2:L8" xr:uid="{3DEAA6B6-9198-4ED2-9E8A-70B204DE32D4}"/>
  <tableColumns count="11">
    <tableColumn id="1" xr3:uid="{01622B28-D16F-46A1-B259-4F698F76530F}" name="ID" dataDxfId="63"/>
    <tableColumn id="4" xr3:uid="{8F0E90A3-B43D-4E1B-BF64-4026B229AC31}" name="TITLE" dataDxfId="62"/>
    <tableColumn id="5" xr3:uid="{5C3B61D5-10BD-47E3-B4B6-39B81079A225}" name="AUTHOR" dataDxfId="61"/>
    <tableColumn id="6" xr3:uid="{1EC08355-FFBA-4062-9790-47FF38A01548}" name="PUB YR" dataDxfId="60" dataCellStyle="Neutral"/>
    <tableColumn id="16" xr3:uid="{D5ED8F76-199C-44DE-BD25-8329EA60A012}" name="METHODS" dataDxfId="59"/>
    <tableColumn id="17" xr3:uid="{4B99669A-6C42-4F14-9D55-86B959ECC8D8}" name="TOOLS" dataDxfId="58"/>
    <tableColumn id="18" xr3:uid="{06ECE25B-2A8B-4911-8B5E-8E60DF18DC98}" name="RESULTS" dataDxfId="57"/>
    <tableColumn id="19" xr3:uid="{39013842-5FC4-45C8-B6D2-805806C0864C}" name="LIMITATIONS" dataDxfId="56"/>
    <tableColumn id="20" xr3:uid="{B44B4614-1A52-4825-9FA6-27CF983404BE}" name="FUTURE DIRECTIONS" dataDxfId="55"/>
    <tableColumn id="22" xr3:uid="{F5B42CE8-B873-4A29-B180-0F0E27FC9180}" name="KEY CONCEPTS" dataDxfId="54"/>
    <tableColumn id="23" xr3:uid="{6CE977FC-C5C9-4F3C-BFF0-50D0E10F654D}" name="REF CNT" dataDxfId="53"/>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5-07-10T22:19:34.03" personId="{7FAA29A5-9C21-4AC8-9263-BF9D2E9E6181}" id="{78321BB6-58A9-4466-A568-92480B60BF52}">
    <text xml:space="preserve">IC-02: Source Availability; Fully available in one of the academic sources (Section 2.2.2). </text>
  </threadedComment>
  <threadedComment ref="C5" dT="2025-07-10T22:19:13.89" personId="{7FAA29A5-9C21-4AC8-9263-BF9D2E9E6181}" id="{0B324706-E827-4EC5-954D-1028E7727263}">
    <text xml:space="preserve">IC-01: Date Relevance; Published between 2010–2020 (or 2010–2024 for the update). </text>
  </threadedComment>
  <threadedComment ref="C6" dT="2025-07-10T22:03:19.19" personId="{7FAA29A5-9C21-4AC8-9263-BF9D2E9E6181}" id="{4B081152-02F6-4290-AFEA-9A43E5D189D6}">
    <text xml:space="preserve">EC-06: Not Readable; document written in a language other than English or Spanish. </text>
  </threadedComment>
  <threadedComment ref="C7" dT="2025-07-10T22:03:09.34" personId="{7FAA29A5-9C21-4AC8-9263-BF9D2E9E6181}" id="{271B2DCC-C136-4378-B9BD-F7ADBA970FEA}">
    <text>EC-05: Is Book; document labelled as a book or a book part (e.g.: chapter or section).</text>
  </threadedComment>
  <threadedComment ref="C8" dT="2025-07-11T05:29:29.24" personId="{7FAA29A5-9C21-4AC8-9263-BF9D2E9E6181}" id="{94E0DABD-0A5A-47D4-99D9-BA87E8C315FD}">
    <text xml:space="preserve">IC-03: Document Type; document labelled as article, conference paper, journal, or proceedings. </text>
  </threadedComment>
  <threadedComment ref="C9" dT="2025-07-10T22:01:49.31" personId="{7FAA29A5-9C21-4AC8-9263-BF9D2E9E6181}" id="{C4983806-F9D8-4A7F-A575-B848BE661639}">
    <text xml:space="preserve">EC-01: No Title; document does NOT have a title. </text>
  </threadedComment>
  <threadedComment ref="C10" dT="2025-07-10T23:27:35.19" personId="{7FAA29A5-9C21-4AC8-9263-BF9D2E9E6181}" id="{C32A48E9-C0FF-41E5-9EB5-603BB9312721}">
    <text>EC-02: No Authors; authors NOT listed in the document.</text>
  </threadedComment>
  <threadedComment ref="C11" dT="2025-07-10T22:02:34.55" personId="{7FAA29A5-9C21-4AC8-9263-BF9D2E9E6181}" id="{D042ABAB-3FBE-4BCD-9F29-53832B6CAA03}">
    <text>EC-03: No DOI; document does NOT have a Digital Object Identifier (DOI ).</text>
  </threadedComment>
  <threadedComment ref="C12" dT="2025-07-11T06:03:17.70" personId="{7FAA29A5-9C21-4AC8-9263-BF9D2E9E6181}" id="{7411CCED-9C7D-40A1-AA55-71BF3F3BE9C0}">
    <text>EC-04: No Abstract; document does NOT have a summary or abstract.</text>
  </threadedComment>
  <threadedComment ref="C13" dT="2025-07-10T22:19:57.46" personId="{7FAA29A5-9C21-4AC8-9263-BF9D2E9E6181}" id="{D9477364-87B5-4BF5-8BC1-BB386A911B93}">
    <text xml:space="preserve">IC-04: Title Keywords; Title include words like:“Dimensional Analysis”,“Dimensionless Coefficients”,“Π-Theorem”, “Software”, “Design”, “Tools”, “Development”, or “Architecture”. </text>
  </threadedComment>
  <threadedComment ref="C14" dT="2025-07-10T22:21:12.04" personId="{7FAA29A5-9C21-4AC8-9263-BF9D2E9E6181}" id="{7E3D91D2-C8A9-40EA-9B73-15D216D0356D}">
    <text xml:space="preserve">IC-05: Abstract Keywords; Summary include words like: “Dimensional Analysis”, “Dimensionless Coefficients”, “Π-Theorem”, “Software”, “Design”, “Tools”, “Development”, or “Architecture”. </text>
  </threadedComment>
  <threadedComment ref="C14" dT="2025-07-11T01:08:17.27" personId="{7FAA29A5-9C21-4AC8-9263-BF9D2E9E6181}" id="{3B9C0E20-2F85-4904-B2AB-8CFFA9B02EDE}" parentId="{7E3D91D2-C8A9-40EA-9B73-15D216D0356D}">
    <text xml:space="preserve">E.g.:
=SUMPRODUCT(--ISNUMBER(SEARCH({"apple","banana","cherry"}, B1)))&gt;0 
Explanation:
SEARCH({"apple","banana","cherry"}, B1) checks if each word exists in B1.
ISNUMBER(...) returns TRUE/FALSE for each word.
-- converts TRUE/FALSE to 1/0.
SUMPRODUCT(...) sums the results, and &gt;0 returns TRUE if at least one word is found.
</text>
  </threadedComment>
</ThreadedComments>
</file>

<file path=xl/threadedComments/threadedComment2.xml><?xml version="1.0" encoding="utf-8"?>
<ThreadedComments xmlns="http://schemas.microsoft.com/office/spreadsheetml/2018/threadedcomments" xmlns:x="http://schemas.openxmlformats.org/spreadsheetml/2006/main">
  <threadedComment ref="F2" dT="2023-04-17T03:53:44.77" personId="{7FAA29A5-9C21-4AC8-9263-BF9D2E9E6181}" id="{89484925-10FF-4EBD-B159-4F1847893F5F}">
    <text>QF-01: References key or indexed sources on Dimensional Analysis? (Y /N ).</text>
  </threadedComment>
  <threadedComment ref="G2" dT="2023-04-17T03:53:59.90" personId="{7FAA29A5-9C21-4AC8-9263-BF9D2E9E6181}" id="{FD072318-235E-4B61-BC50-B6557B7AC5E3}">
    <text>QF-02: Is Dimensional Analysis central to the document? (Y /N /P ).</text>
  </threadedComment>
  <threadedComment ref="H2" dT="2023-04-17T03:54:15.86" personId="{7FAA29A5-9C21-4AC8-9263-BF9D2E9E6181}" id="{E7424919-E3B8-4B69-9711-37D5E03E1CC3}">
    <text>QF-03: states an objective, research question, or modeling goal on Dimensional Analysis? (Y /N /P ).</text>
  </threadedComment>
  <threadedComment ref="I2" dT="2023-04-17T03:54:32.88" personId="{7FAA29A5-9C21-4AC8-9263-BF9D2E9E6181}" id="{3A466795-599F-4CB9-8CB6-4D1A7A3A17D1}">
    <text>QF-04: Describes or applies identifiable steps, rules, or computational procedures related to Dimensional Analysis? (Y /N /P ).</text>
  </threadedComment>
  <threadedComment ref="J2" dT="2023-05-05T08:44:53.33" personId="{7FAA29A5-9C21-4AC8-9263-BF9D2E9E6181}" id="{5C47DB51-AB38-43E6-9258-BEFB4ED7DD3B}">
    <text>QF-05: Provides quantitative evidence, simulation results, or empirical validation to support the application of Dimensional Analysis? (Y /N /P ).</text>
  </threadedComment>
  <threadedComment ref="K2" dT="2023-04-17T03:55:06.03" personId="{7FAA29A5-9C21-4AC8-9263-BF9D2E9E6181}" id="{EAEA9848-50EB-43AC-883C-A31C5C50FF78}">
    <text>QF-06: Discusses limitations or challenges of applying Dimensional Analysis in the research context? (Y /N /P ).</text>
  </threadedComment>
  <threadedComment ref="C6" dT="2025-07-17T01:17:51.29" personId="{7FAA29A5-9C21-4AC8-9263-BF9D2E9E6181}" id="{F222ED87-B4A7-4BF4-B078-2B37C396747F}">
    <text>Although it introduces a novel analogy using energy and action, it doesn't include clear dimensional analysis procedures or empirical validation tied directly to dimensionless modeling.</text>
  </threadedComment>
  <threadedComment ref="C10" dT="2025-07-17T01:18:14.90" personId="{7FAA29A5-9C21-4AC8-9263-BF9D2E9E6181}" id="{220D3774-1DE3-45C4-861D-4F2F86F1F6E2}">
    <text>The paper is highly abstract and theoretical, using physics-inspired ideas, but it doesn't apply or validate standard dimensional analysis methods in a concrete or testable way.</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0.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1.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1E554-D409-4FD9-A10E-B58853B08A02}">
  <sheetPr codeName="Sheet1"/>
  <dimension ref="B2:E10"/>
  <sheetViews>
    <sheetView workbookViewId="0">
      <selection activeCell="C10" sqref="C10"/>
    </sheetView>
  </sheetViews>
  <sheetFormatPr defaultRowHeight="14.35" x14ac:dyDescent="0.5"/>
  <cols>
    <col min="2" max="2" width="14.3515625" style="1" bestFit="1" customWidth="1"/>
    <col min="3" max="3" width="40.41015625" style="3" bestFit="1" customWidth="1"/>
    <col min="4" max="4" width="22.234375" style="3" bestFit="1" customWidth="1"/>
    <col min="5" max="5" width="23.8203125" style="3" bestFit="1" customWidth="1"/>
  </cols>
  <sheetData>
    <row r="2" spans="2:5" s="2" customFormat="1" x14ac:dyDescent="0.5">
      <c r="B2" s="20" t="s">
        <v>0</v>
      </c>
      <c r="C2" s="15" t="s">
        <v>1</v>
      </c>
      <c r="D2" s="15" t="s">
        <v>2</v>
      </c>
      <c r="E2" s="15" t="s">
        <v>3</v>
      </c>
    </row>
    <row r="3" spans="2:5" ht="28.7" x14ac:dyDescent="0.5">
      <c r="B3" s="14" t="s">
        <v>4</v>
      </c>
      <c r="C3" s="3" t="s">
        <v>5</v>
      </c>
      <c r="D3" s="3" t="s">
        <v>6</v>
      </c>
      <c r="E3" s="3" t="s">
        <v>7</v>
      </c>
    </row>
    <row r="4" spans="2:5" ht="43" x14ac:dyDescent="0.5">
      <c r="B4" s="14" t="s">
        <v>8</v>
      </c>
      <c r="C4" s="3" t="s">
        <v>9</v>
      </c>
      <c r="D4" s="3" t="s">
        <v>6</v>
      </c>
      <c r="E4" s="3" t="s">
        <v>10</v>
      </c>
    </row>
    <row r="5" spans="2:5" x14ac:dyDescent="0.5">
      <c r="B5" s="14" t="s">
        <v>11</v>
      </c>
      <c r="C5" s="3" t="s">
        <v>12</v>
      </c>
      <c r="D5" s="3" t="s">
        <v>13</v>
      </c>
      <c r="E5" s="3" t="s">
        <v>14</v>
      </c>
    </row>
    <row r="6" spans="2:5" ht="57.35" x14ac:dyDescent="0.5">
      <c r="B6" s="14" t="s">
        <v>15</v>
      </c>
      <c r="C6" s="3" t="s">
        <v>16</v>
      </c>
      <c r="D6" s="3" t="s">
        <v>17</v>
      </c>
      <c r="E6" s="3" t="s">
        <v>18</v>
      </c>
    </row>
    <row r="7" spans="2:5" ht="28.7" x14ac:dyDescent="0.5">
      <c r="B7" s="14" t="s">
        <v>19</v>
      </c>
      <c r="C7" s="3" t="s">
        <v>20</v>
      </c>
      <c r="D7" s="3" t="s">
        <v>17</v>
      </c>
      <c r="E7" s="3" t="s">
        <v>21</v>
      </c>
    </row>
    <row r="8" spans="2:5" ht="43" x14ac:dyDescent="0.5">
      <c r="B8" s="14" t="s">
        <v>22</v>
      </c>
      <c r="C8" s="3" t="s">
        <v>23</v>
      </c>
      <c r="D8" s="3" t="s">
        <v>24</v>
      </c>
      <c r="E8" s="3" t="s">
        <v>25</v>
      </c>
    </row>
    <row r="9" spans="2:5" ht="28.7" x14ac:dyDescent="0.5">
      <c r="B9" s="14" t="s">
        <v>26</v>
      </c>
      <c r="C9" s="3" t="s">
        <v>27</v>
      </c>
      <c r="D9" s="3" t="s">
        <v>28</v>
      </c>
      <c r="E9" s="3" t="s">
        <v>29</v>
      </c>
    </row>
    <row r="10" spans="2:5" ht="43" x14ac:dyDescent="0.5">
      <c r="B10" s="14" t="s">
        <v>30</v>
      </c>
      <c r="C10" s="3" t="s">
        <v>31</v>
      </c>
      <c r="D10" s="3" t="s">
        <v>32</v>
      </c>
      <c r="E10" s="3"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B50C6-5DC2-4963-BFCD-0BCDB2EC6304}">
  <sheetPr codeName="Sheet3"/>
  <dimension ref="A1:E2"/>
  <sheetViews>
    <sheetView workbookViewId="0"/>
  </sheetViews>
  <sheetFormatPr defaultRowHeight="14.35" x14ac:dyDescent="0.5"/>
  <sheetData>
    <row r="1" spans="1:5" x14ac:dyDescent="0.5">
      <c r="A1" t="s">
        <v>42</v>
      </c>
      <c r="B1" t="s">
        <v>43</v>
      </c>
      <c r="C1" t="s">
        <v>44</v>
      </c>
      <c r="D1" t="s">
        <v>45</v>
      </c>
      <c r="E1" t="s">
        <v>46</v>
      </c>
    </row>
    <row r="2" spans="1:5" x14ac:dyDescent="0.5">
      <c r="A2">
        <f>COUNT(#REF!)</f>
        <v>0</v>
      </c>
      <c r="B2">
        <v>7</v>
      </c>
      <c r="C2">
        <v>1</v>
      </c>
      <c r="D2">
        <v>0</v>
      </c>
      <c r="E2" t="s">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5CEC3-100F-4CEC-8B6C-1A7212201D6A}">
  <sheetPr codeName="Sheet4"/>
  <dimension ref="B2:D22"/>
  <sheetViews>
    <sheetView topLeftCell="A2" workbookViewId="0">
      <selection activeCell="B3" sqref="B3:D22"/>
    </sheetView>
  </sheetViews>
  <sheetFormatPr defaultRowHeight="14.35" x14ac:dyDescent="0.5"/>
  <cols>
    <col min="2" max="2" width="6.5859375" style="4" bestFit="1" customWidth="1"/>
    <col min="3" max="3" width="19.52734375" style="11" customWidth="1"/>
    <col min="4" max="4" width="44.05859375" style="11" customWidth="1"/>
  </cols>
  <sheetData>
    <row r="2" spans="2:4" x14ac:dyDescent="0.5">
      <c r="B2"/>
      <c r="C2" s="5"/>
      <c r="D2" s="5"/>
    </row>
    <row r="3" spans="2:4" x14ac:dyDescent="0.5">
      <c r="B3" s="20" t="s">
        <v>47</v>
      </c>
      <c r="C3" s="15" t="s">
        <v>152</v>
      </c>
      <c r="D3" s="15" t="s">
        <v>153</v>
      </c>
    </row>
    <row r="4" spans="2:4" ht="28.7" x14ac:dyDescent="0.5">
      <c r="B4" s="1" t="s">
        <v>48</v>
      </c>
      <c r="C4" s="21" t="s">
        <v>73</v>
      </c>
      <c r="D4" s="22" t="s">
        <v>135</v>
      </c>
    </row>
    <row r="5" spans="2:4" ht="28.7" x14ac:dyDescent="0.5">
      <c r="B5" s="1" t="s">
        <v>49</v>
      </c>
      <c r="C5" s="21" t="s">
        <v>50</v>
      </c>
      <c r="D5" s="22" t="s">
        <v>139</v>
      </c>
    </row>
    <row r="6" spans="2:4" x14ac:dyDescent="0.5">
      <c r="B6" s="1" t="s">
        <v>51</v>
      </c>
      <c r="C6" s="21" t="s">
        <v>52</v>
      </c>
      <c r="D6" s="22" t="s">
        <v>140</v>
      </c>
    </row>
    <row r="7" spans="2:4" ht="28.7" x14ac:dyDescent="0.5">
      <c r="B7" s="1" t="s">
        <v>53</v>
      </c>
      <c r="C7" s="21" t="s">
        <v>54</v>
      </c>
      <c r="D7" s="22" t="s">
        <v>141</v>
      </c>
    </row>
    <row r="8" spans="2:4" x14ac:dyDescent="0.5">
      <c r="B8" s="1" t="s">
        <v>55</v>
      </c>
      <c r="C8" s="21" t="s">
        <v>100</v>
      </c>
      <c r="D8" s="22" t="s">
        <v>142</v>
      </c>
    </row>
    <row r="9" spans="2:4" x14ac:dyDescent="0.5">
      <c r="B9" s="1" t="s">
        <v>56</v>
      </c>
      <c r="C9" s="21" t="s">
        <v>97</v>
      </c>
      <c r="D9" s="22" t="s">
        <v>138</v>
      </c>
    </row>
    <row r="10" spans="2:4" x14ac:dyDescent="0.5">
      <c r="B10" s="1" t="s">
        <v>57</v>
      </c>
      <c r="C10" s="21" t="s">
        <v>58</v>
      </c>
      <c r="D10" s="22" t="s">
        <v>143</v>
      </c>
    </row>
    <row r="11" spans="2:4" ht="28.7" x14ac:dyDescent="0.5">
      <c r="B11" s="1" t="s">
        <v>59</v>
      </c>
      <c r="C11" s="21" t="s">
        <v>60</v>
      </c>
      <c r="D11" s="22" t="s">
        <v>144</v>
      </c>
    </row>
    <row r="12" spans="2:4" ht="28.7" x14ac:dyDescent="0.5">
      <c r="B12" s="1" t="s">
        <v>61</v>
      </c>
      <c r="C12" s="21" t="s">
        <v>62</v>
      </c>
      <c r="D12" s="22" t="s">
        <v>145</v>
      </c>
    </row>
    <row r="13" spans="2:4" x14ac:dyDescent="0.5">
      <c r="B13" s="1" t="s">
        <v>63</v>
      </c>
      <c r="C13" s="21" t="s">
        <v>64</v>
      </c>
      <c r="D13" s="22" t="s">
        <v>146</v>
      </c>
    </row>
    <row r="14" spans="2:4" ht="28.7" x14ac:dyDescent="0.5">
      <c r="B14" s="1" t="s">
        <v>65</v>
      </c>
      <c r="C14" s="21" t="s">
        <v>133</v>
      </c>
      <c r="D14" s="22" t="s">
        <v>136</v>
      </c>
    </row>
    <row r="15" spans="2:4" ht="43" x14ac:dyDescent="0.5">
      <c r="B15" s="1" t="s">
        <v>66</v>
      </c>
      <c r="C15" s="21" t="s">
        <v>132</v>
      </c>
      <c r="D15" s="22" t="s">
        <v>421</v>
      </c>
    </row>
    <row r="16" spans="2:4" ht="28.7" x14ac:dyDescent="0.5">
      <c r="B16" s="1" t="s">
        <v>67</v>
      </c>
      <c r="C16" s="21" t="s">
        <v>134</v>
      </c>
      <c r="D16" s="22" t="s">
        <v>147</v>
      </c>
    </row>
    <row r="17" spans="2:4" ht="28.7" x14ac:dyDescent="0.5">
      <c r="B17" s="1" t="s">
        <v>68</v>
      </c>
      <c r="C17" s="21" t="s">
        <v>422</v>
      </c>
      <c r="D17" s="22" t="s">
        <v>423</v>
      </c>
    </row>
    <row r="18" spans="2:4" ht="28.7" x14ac:dyDescent="0.5">
      <c r="B18" s="1" t="s">
        <v>69</v>
      </c>
      <c r="C18" s="21" t="s">
        <v>424</v>
      </c>
      <c r="D18" s="22" t="s">
        <v>148</v>
      </c>
    </row>
    <row r="19" spans="2:4" ht="28.7" x14ac:dyDescent="0.5">
      <c r="B19" s="1" t="s">
        <v>70</v>
      </c>
      <c r="C19" s="21" t="s">
        <v>99</v>
      </c>
      <c r="D19" s="22" t="s">
        <v>149</v>
      </c>
    </row>
    <row r="20" spans="2:4" x14ac:dyDescent="0.5">
      <c r="B20" s="1" t="s">
        <v>71</v>
      </c>
      <c r="C20" s="21" t="s">
        <v>130</v>
      </c>
      <c r="D20" s="22" t="s">
        <v>150</v>
      </c>
    </row>
    <row r="21" spans="2:4" x14ac:dyDescent="0.5">
      <c r="B21" s="1" t="s">
        <v>96</v>
      </c>
      <c r="C21" s="21" t="s">
        <v>131</v>
      </c>
      <c r="D21" s="22" t="s">
        <v>137</v>
      </c>
    </row>
    <row r="22" spans="2:4" x14ac:dyDescent="0.5">
      <c r="B22" s="1" t="s">
        <v>98</v>
      </c>
      <c r="C22" s="21" t="s">
        <v>72</v>
      </c>
      <c r="D22" s="22" t="s">
        <v>151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03ED9-08EA-4E36-879F-3CC35BE7D792}">
  <sheetPr codeName="Sheet5"/>
  <dimension ref="B2:D5"/>
  <sheetViews>
    <sheetView workbookViewId="0">
      <selection activeCell="D16" sqref="D16"/>
    </sheetView>
  </sheetViews>
  <sheetFormatPr defaultRowHeight="14.35" x14ac:dyDescent="0.5"/>
  <cols>
    <col min="2" max="2" width="6.5859375" bestFit="1" customWidth="1"/>
    <col min="3" max="3" width="18.41015625" bestFit="1" customWidth="1"/>
    <col min="4" max="4" width="33" bestFit="1" customWidth="1"/>
  </cols>
  <sheetData>
    <row r="2" spans="2:4" x14ac:dyDescent="0.5">
      <c r="B2" s="12" t="s">
        <v>47</v>
      </c>
      <c r="C2" s="15" t="s">
        <v>152</v>
      </c>
      <c r="D2" s="15" t="s">
        <v>153</v>
      </c>
    </row>
    <row r="3" spans="2:4" ht="28.7" x14ac:dyDescent="0.5">
      <c r="B3" s="16" t="s">
        <v>74</v>
      </c>
      <c r="C3" s="17" t="s">
        <v>154</v>
      </c>
      <c r="D3" s="18" t="s">
        <v>159</v>
      </c>
    </row>
    <row r="4" spans="2:4" ht="28.7" x14ac:dyDescent="0.5">
      <c r="B4" s="16" t="s">
        <v>75</v>
      </c>
      <c r="C4" s="17" t="s">
        <v>155</v>
      </c>
      <c r="D4" s="18" t="s">
        <v>156</v>
      </c>
    </row>
    <row r="5" spans="2:4" ht="28.7" x14ac:dyDescent="0.5">
      <c r="B5" s="16" t="s">
        <v>76</v>
      </c>
      <c r="C5" s="17" t="s">
        <v>157</v>
      </c>
      <c r="D5" s="18" t="s">
        <v>158</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5D8B-7458-4955-B93B-304A7BDD4EE4}">
  <sheetPr codeName="Sheet6"/>
  <dimension ref="B2:D14"/>
  <sheetViews>
    <sheetView workbookViewId="0">
      <selection activeCell="A2" sqref="A2:XFD2"/>
    </sheetView>
  </sheetViews>
  <sheetFormatPr defaultRowHeight="14.35" x14ac:dyDescent="0.5"/>
  <cols>
    <col min="2" max="2" width="6.5859375" bestFit="1" customWidth="1"/>
    <col min="3" max="3" width="20.05859375" bestFit="1" customWidth="1"/>
    <col min="4" max="4" width="41.41015625" bestFit="1" customWidth="1"/>
  </cols>
  <sheetData>
    <row r="2" spans="2:4" x14ac:dyDescent="0.5">
      <c r="B2" s="12" t="s">
        <v>47</v>
      </c>
      <c r="C2" s="15" t="s">
        <v>152</v>
      </c>
      <c r="D2" s="15" t="s">
        <v>153</v>
      </c>
    </row>
    <row r="3" spans="2:4" ht="28.7" x14ac:dyDescent="0.5">
      <c r="B3" s="16" t="s">
        <v>77</v>
      </c>
      <c r="C3" s="17" t="s">
        <v>161</v>
      </c>
      <c r="D3" s="19" t="s">
        <v>162</v>
      </c>
    </row>
    <row r="4" spans="2:4" ht="28.7" x14ac:dyDescent="0.5">
      <c r="B4" s="16" t="s">
        <v>78</v>
      </c>
      <c r="C4" s="17" t="s">
        <v>163</v>
      </c>
      <c r="D4" s="19" t="s">
        <v>164</v>
      </c>
    </row>
    <row r="5" spans="2:4" ht="28.7" x14ac:dyDescent="0.5">
      <c r="B5" s="16" t="s">
        <v>79</v>
      </c>
      <c r="C5" s="17" t="s">
        <v>165</v>
      </c>
      <c r="D5" s="19" t="s">
        <v>166</v>
      </c>
    </row>
    <row r="6" spans="2:4" ht="28.7" x14ac:dyDescent="0.5">
      <c r="B6" s="16" t="s">
        <v>80</v>
      </c>
      <c r="C6" s="17" t="s">
        <v>167</v>
      </c>
      <c r="D6" s="19" t="s">
        <v>168</v>
      </c>
    </row>
    <row r="7" spans="2:4" x14ac:dyDescent="0.5">
      <c r="B7" s="16" t="s">
        <v>81</v>
      </c>
      <c r="C7" s="17" t="s">
        <v>169</v>
      </c>
      <c r="D7" s="19" t="s">
        <v>170</v>
      </c>
    </row>
    <row r="8" spans="2:4" ht="28.7" x14ac:dyDescent="0.5">
      <c r="B8" s="16" t="s">
        <v>82</v>
      </c>
      <c r="C8" s="17" t="s">
        <v>171</v>
      </c>
      <c r="D8" s="19" t="s">
        <v>172</v>
      </c>
    </row>
    <row r="9" spans="2:4" x14ac:dyDescent="0.5">
      <c r="B9" s="16" t="s">
        <v>83</v>
      </c>
      <c r="C9" s="17" t="s">
        <v>160</v>
      </c>
      <c r="D9" s="19" t="s">
        <v>182</v>
      </c>
    </row>
    <row r="10" spans="2:4" ht="28.7" x14ac:dyDescent="0.5">
      <c r="B10" s="16" t="s">
        <v>84</v>
      </c>
      <c r="C10" s="17" t="s">
        <v>173</v>
      </c>
      <c r="D10" s="19" t="s">
        <v>178</v>
      </c>
    </row>
    <row r="11" spans="2:4" ht="28.7" x14ac:dyDescent="0.5">
      <c r="B11" s="16" t="s">
        <v>85</v>
      </c>
      <c r="C11" s="17" t="s">
        <v>174</v>
      </c>
      <c r="D11" s="19" t="s">
        <v>179</v>
      </c>
    </row>
    <row r="12" spans="2:4" x14ac:dyDescent="0.5">
      <c r="B12" s="16" t="s">
        <v>87</v>
      </c>
      <c r="C12" s="17" t="s">
        <v>175</v>
      </c>
      <c r="D12" s="19" t="s">
        <v>180</v>
      </c>
    </row>
    <row r="13" spans="2:4" ht="28.7" x14ac:dyDescent="0.5">
      <c r="B13" s="16" t="s">
        <v>88</v>
      </c>
      <c r="C13" s="17" t="s">
        <v>86</v>
      </c>
      <c r="D13" s="19" t="s">
        <v>181</v>
      </c>
    </row>
    <row r="14" spans="2:4" x14ac:dyDescent="0.5">
      <c r="B14" s="16" t="s">
        <v>89</v>
      </c>
      <c r="C14" s="17" t="s">
        <v>176</v>
      </c>
      <c r="D14" s="19" t="s">
        <v>177</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5B55-F186-43C3-AB87-BB44DA7F5D90}">
  <sheetPr codeName="Sheet7"/>
  <dimension ref="B2:D5"/>
  <sheetViews>
    <sheetView workbookViewId="0">
      <selection activeCell="D4" sqref="D4"/>
    </sheetView>
  </sheetViews>
  <sheetFormatPr defaultRowHeight="14.35" x14ac:dyDescent="0.5"/>
  <cols>
    <col min="2" max="2" width="6.5859375" bestFit="1" customWidth="1"/>
    <col min="3" max="3" width="18.64453125" customWidth="1"/>
    <col min="4" max="4" width="41.234375" bestFit="1" customWidth="1"/>
  </cols>
  <sheetData>
    <row r="2" spans="2:4" x14ac:dyDescent="0.5">
      <c r="B2" s="12" t="s">
        <v>47</v>
      </c>
      <c r="C2" s="15" t="s">
        <v>152</v>
      </c>
      <c r="D2" s="15" t="s">
        <v>153</v>
      </c>
    </row>
    <row r="3" spans="2:4" ht="28.7" x14ac:dyDescent="0.5">
      <c r="B3" s="16" t="s">
        <v>90</v>
      </c>
      <c r="C3" s="17" t="s">
        <v>91</v>
      </c>
      <c r="D3" s="18" t="s">
        <v>425</v>
      </c>
    </row>
    <row r="4" spans="2:4" ht="28.7" x14ac:dyDescent="0.5">
      <c r="B4" s="16" t="s">
        <v>92</v>
      </c>
      <c r="C4" s="17" t="s">
        <v>93</v>
      </c>
      <c r="D4" s="18" t="s">
        <v>183</v>
      </c>
    </row>
    <row r="5" spans="2:4" x14ac:dyDescent="0.5">
      <c r="B5" s="16" t="s">
        <v>94</v>
      </c>
      <c r="C5" s="17" t="s">
        <v>95</v>
      </c>
      <c r="D5" s="18" t="s">
        <v>184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F55D-1910-4E5E-B92D-6CA5DEB9043F}">
  <sheetPr codeName="Sheet2"/>
  <dimension ref="B2:E7"/>
  <sheetViews>
    <sheetView workbookViewId="0">
      <selection activeCell="C15" sqref="C15"/>
    </sheetView>
  </sheetViews>
  <sheetFormatPr defaultRowHeight="14.35" x14ac:dyDescent="0.5"/>
  <cols>
    <col min="2" max="2" width="12.76171875" style="4" bestFit="1" customWidth="1"/>
    <col min="3" max="3" width="40.1171875" style="4" bestFit="1" customWidth="1"/>
    <col min="4" max="4" width="13.05859375" style="4" bestFit="1" customWidth="1"/>
    <col min="5" max="5" width="12.46875" style="4" bestFit="1" customWidth="1"/>
  </cols>
  <sheetData>
    <row r="2" spans="2:5" x14ac:dyDescent="0.5">
      <c r="B2" s="12" t="s">
        <v>186</v>
      </c>
      <c r="C2" s="13" t="s">
        <v>40</v>
      </c>
      <c r="D2" s="12" t="s">
        <v>41</v>
      </c>
      <c r="E2" s="13" t="s">
        <v>187</v>
      </c>
    </row>
    <row r="3" spans="2:5" ht="57.35" x14ac:dyDescent="0.5">
      <c r="B3" s="14" t="s">
        <v>34</v>
      </c>
      <c r="C3" s="11" t="s">
        <v>208</v>
      </c>
      <c r="D3" s="11" t="s">
        <v>126</v>
      </c>
      <c r="E3" s="11" t="s">
        <v>35</v>
      </c>
    </row>
    <row r="4" spans="2:5" ht="43" x14ac:dyDescent="0.5">
      <c r="B4" s="14" t="s">
        <v>36</v>
      </c>
      <c r="C4" s="11" t="s">
        <v>127</v>
      </c>
      <c r="D4" s="11" t="s">
        <v>126</v>
      </c>
      <c r="E4" s="11" t="s">
        <v>35</v>
      </c>
    </row>
    <row r="5" spans="2:5" ht="86" x14ac:dyDescent="0.5">
      <c r="B5" s="14" t="s">
        <v>37</v>
      </c>
      <c r="C5" s="11" t="s">
        <v>128</v>
      </c>
      <c r="D5" s="11" t="s">
        <v>126</v>
      </c>
      <c r="E5" s="11" t="s">
        <v>35</v>
      </c>
    </row>
    <row r="6" spans="2:5" ht="43" x14ac:dyDescent="0.5">
      <c r="B6" s="14" t="s">
        <v>341</v>
      </c>
      <c r="C6" s="11" t="s">
        <v>209</v>
      </c>
      <c r="D6" s="11" t="s">
        <v>126</v>
      </c>
      <c r="E6" s="11" t="s">
        <v>35</v>
      </c>
    </row>
    <row r="7" spans="2:5" ht="43" x14ac:dyDescent="0.5">
      <c r="B7" s="14" t="s">
        <v>426</v>
      </c>
      <c r="C7" s="11" t="s">
        <v>129</v>
      </c>
      <c r="D7" s="11" t="s">
        <v>126</v>
      </c>
      <c r="E7" s="11" t="s">
        <v>35</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A2BD-701F-4E09-967F-9A39169E5372}">
  <sheetPr codeName="Sheet14"/>
  <dimension ref="B2:D6"/>
  <sheetViews>
    <sheetView topLeftCell="D1" workbookViewId="0">
      <selection activeCell="B1" sqref="B1:B1048576"/>
    </sheetView>
  </sheetViews>
  <sheetFormatPr defaultRowHeight="14.35" x14ac:dyDescent="0.5"/>
  <cols>
    <col min="3" max="3" width="13.9375" bestFit="1" customWidth="1"/>
    <col min="4" max="4" width="80.46875" customWidth="1"/>
  </cols>
  <sheetData>
    <row r="2" spans="2:4" x14ac:dyDescent="0.5">
      <c r="B2" s="2" t="s">
        <v>47</v>
      </c>
      <c r="C2" s="5" t="s">
        <v>185</v>
      </c>
      <c r="D2" s="5" t="s">
        <v>153</v>
      </c>
    </row>
    <row r="3" spans="2:4" ht="28.7" x14ac:dyDescent="0.5">
      <c r="B3" s="2" t="s">
        <v>113</v>
      </c>
      <c r="C3" s="6" t="s">
        <v>114</v>
      </c>
      <c r="D3" s="5" t="s">
        <v>115</v>
      </c>
    </row>
    <row r="4" spans="2:4" ht="43" x14ac:dyDescent="0.5">
      <c r="B4" s="2" t="s">
        <v>116</v>
      </c>
      <c r="C4" s="6" t="s">
        <v>117</v>
      </c>
      <c r="D4" s="5" t="s">
        <v>118</v>
      </c>
    </row>
    <row r="5" spans="2:4" ht="43" x14ac:dyDescent="0.5">
      <c r="B5" s="2" t="s">
        <v>119</v>
      </c>
      <c r="C5" s="6" t="s">
        <v>120</v>
      </c>
      <c r="D5" s="5" t="s">
        <v>121</v>
      </c>
    </row>
    <row r="6" spans="2:4" ht="43" x14ac:dyDescent="0.5">
      <c r="B6" s="2" t="s">
        <v>122</v>
      </c>
      <c r="C6" s="6" t="s">
        <v>123</v>
      </c>
      <c r="D6" s="5" t="s">
        <v>124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7E1A-045C-4817-8569-83034720E9A8}">
  <sheetPr codeName="Sheet10"/>
  <dimension ref="B2:G18"/>
  <sheetViews>
    <sheetView workbookViewId="0">
      <selection activeCell="B12" sqref="B12"/>
    </sheetView>
  </sheetViews>
  <sheetFormatPr defaultRowHeight="14.35" x14ac:dyDescent="0.5"/>
  <cols>
    <col min="2" max="2" width="12.29296875" bestFit="1" customWidth="1"/>
    <col min="3" max="3" width="9.87890625" bestFit="1" customWidth="1"/>
    <col min="4" max="4" width="10" bestFit="1" customWidth="1"/>
    <col min="5" max="5" width="12.05859375" bestFit="1" customWidth="1"/>
    <col min="6" max="6" width="32.3515625" bestFit="1" customWidth="1"/>
    <col min="7" max="7" width="41.64453125" bestFit="1" customWidth="1"/>
  </cols>
  <sheetData>
    <row r="2" spans="2:7" ht="21" thickBot="1" x14ac:dyDescent="0.55000000000000004">
      <c r="B2" s="45" t="s">
        <v>210</v>
      </c>
      <c r="C2" s="45"/>
      <c r="D2" s="45"/>
      <c r="E2" s="45"/>
      <c r="F2" s="45"/>
      <c r="G2" s="45"/>
    </row>
    <row r="3" spans="2:7" ht="15" thickTop="1" thickBot="1" x14ac:dyDescent="0.55000000000000004">
      <c r="B3" s="23" t="s">
        <v>188</v>
      </c>
      <c r="C3" s="24" t="s">
        <v>189</v>
      </c>
      <c r="D3" s="24" t="s">
        <v>417</v>
      </c>
      <c r="E3" s="24" t="s">
        <v>418</v>
      </c>
      <c r="F3" s="24" t="s">
        <v>420</v>
      </c>
      <c r="G3" s="24" t="s">
        <v>419</v>
      </c>
    </row>
    <row r="4" spans="2:7" ht="72" thickTop="1" x14ac:dyDescent="0.5">
      <c r="B4" s="8" t="s">
        <v>34</v>
      </c>
      <c r="C4" s="5">
        <v>130</v>
      </c>
      <c r="D4" s="5">
        <v>130</v>
      </c>
      <c r="E4" s="5" t="s">
        <v>190</v>
      </c>
      <c r="F4" s="5" t="s">
        <v>191</v>
      </c>
      <c r="G4" s="5" t="s">
        <v>192</v>
      </c>
    </row>
    <row r="5" spans="2:7" ht="71.7" x14ac:dyDescent="0.5">
      <c r="B5" s="8" t="s">
        <v>36</v>
      </c>
      <c r="C5" s="5">
        <v>119</v>
      </c>
      <c r="D5" s="5">
        <v>39</v>
      </c>
      <c r="E5" s="5" t="s">
        <v>193</v>
      </c>
      <c r="F5" s="5" t="s">
        <v>194</v>
      </c>
      <c r="G5" s="5" t="s">
        <v>195</v>
      </c>
    </row>
    <row r="6" spans="2:7" ht="71.7" x14ac:dyDescent="0.5">
      <c r="B6" s="8" t="s">
        <v>37</v>
      </c>
      <c r="C6" s="5">
        <v>99</v>
      </c>
      <c r="D6" s="5">
        <v>30</v>
      </c>
      <c r="E6" s="5" t="s">
        <v>211</v>
      </c>
      <c r="F6" s="5" t="s">
        <v>212</v>
      </c>
      <c r="G6" s="5" t="s">
        <v>213</v>
      </c>
    </row>
    <row r="7" spans="2:7" ht="71.7" x14ac:dyDescent="0.5">
      <c r="B7" s="8" t="s">
        <v>38</v>
      </c>
      <c r="C7" s="5">
        <v>412</v>
      </c>
      <c r="D7" s="5">
        <v>357</v>
      </c>
      <c r="E7" s="5" t="s">
        <v>214</v>
      </c>
      <c r="F7" s="5" t="s">
        <v>215</v>
      </c>
      <c r="G7" s="5" t="s">
        <v>216</v>
      </c>
    </row>
    <row r="8" spans="2:7" ht="71.7" x14ac:dyDescent="0.5">
      <c r="B8" s="8" t="s">
        <v>39</v>
      </c>
      <c r="C8" s="5">
        <v>100</v>
      </c>
      <c r="D8" s="5">
        <v>100</v>
      </c>
      <c r="E8" s="5" t="s">
        <v>196</v>
      </c>
      <c r="F8" s="5" t="s">
        <v>197</v>
      </c>
      <c r="G8" s="5" t="s">
        <v>198</v>
      </c>
    </row>
    <row r="9" spans="2:7" x14ac:dyDescent="0.5">
      <c r="B9" s="8" t="s">
        <v>217</v>
      </c>
      <c r="C9" s="5">
        <f>SUBTOTAL(109,Table1019269[TALLY])</f>
        <v>860</v>
      </c>
      <c r="D9" s="5">
        <f>SUBTOTAL(109,Table1019269[AVAIL])</f>
        <v>656</v>
      </c>
      <c r="E9" s="5"/>
      <c r="F9" s="5"/>
      <c r="G9" s="5"/>
    </row>
    <row r="10" spans="2:7" x14ac:dyDescent="0.5">
      <c r="B10" s="8"/>
      <c r="C10" s="5"/>
      <c r="D10" s="5"/>
      <c r="E10" s="5"/>
      <c r="F10" s="5"/>
      <c r="G10" s="2"/>
    </row>
    <row r="11" spans="2:7" ht="21" thickBot="1" x14ac:dyDescent="0.55000000000000004">
      <c r="B11" s="45" t="s">
        <v>218</v>
      </c>
      <c r="C11" s="45"/>
      <c r="D11" s="45"/>
      <c r="E11" s="45"/>
      <c r="F11" s="45"/>
      <c r="G11" s="45"/>
    </row>
    <row r="12" spans="2:7" ht="15" thickTop="1" thickBot="1" x14ac:dyDescent="0.55000000000000004">
      <c r="B12" s="23" t="s">
        <v>188</v>
      </c>
      <c r="C12" s="24" t="s">
        <v>189</v>
      </c>
      <c r="D12" s="24" t="s">
        <v>417</v>
      </c>
      <c r="E12" s="24" t="s">
        <v>418</v>
      </c>
      <c r="F12" s="24" t="s">
        <v>420</v>
      </c>
      <c r="G12" s="24" t="s">
        <v>419</v>
      </c>
    </row>
    <row r="13" spans="2:7" ht="72" thickTop="1" x14ac:dyDescent="0.5">
      <c r="B13" s="8" t="s">
        <v>34</v>
      </c>
      <c r="C13" s="5">
        <v>40</v>
      </c>
      <c r="D13" s="5">
        <v>40</v>
      </c>
      <c r="E13" s="5" t="s">
        <v>199</v>
      </c>
      <c r="F13" s="5" t="s">
        <v>200</v>
      </c>
      <c r="G13" s="5" t="s">
        <v>201</v>
      </c>
    </row>
    <row r="14" spans="2:7" ht="71.7" x14ac:dyDescent="0.5">
      <c r="B14" s="8" t="s">
        <v>36</v>
      </c>
      <c r="C14" s="5">
        <v>79</v>
      </c>
      <c r="D14" s="5">
        <v>22</v>
      </c>
      <c r="E14" s="5" t="s">
        <v>202</v>
      </c>
      <c r="F14" s="5" t="s">
        <v>203</v>
      </c>
      <c r="G14" s="5" t="s">
        <v>204</v>
      </c>
    </row>
    <row r="15" spans="2:7" ht="71.7" x14ac:dyDescent="0.5">
      <c r="B15" s="8" t="s">
        <v>37</v>
      </c>
      <c r="C15" s="5">
        <v>53</v>
      </c>
      <c r="D15" s="5">
        <v>10</v>
      </c>
      <c r="E15" s="5" t="s">
        <v>219</v>
      </c>
      <c r="F15" s="5" t="s">
        <v>220</v>
      </c>
      <c r="G15" s="5" t="s">
        <v>221</v>
      </c>
    </row>
    <row r="16" spans="2:7" ht="71.7" x14ac:dyDescent="0.5">
      <c r="B16" s="8" t="s">
        <v>38</v>
      </c>
      <c r="C16" s="5">
        <v>159</v>
      </c>
      <c r="D16" s="5">
        <v>140</v>
      </c>
      <c r="E16" s="5" t="s">
        <v>222</v>
      </c>
      <c r="F16" s="5" t="s">
        <v>223</v>
      </c>
      <c r="G16" s="5" t="s">
        <v>224</v>
      </c>
    </row>
    <row r="17" spans="2:7" ht="71.7" x14ac:dyDescent="0.5">
      <c r="B17" s="8" t="s">
        <v>39</v>
      </c>
      <c r="C17" s="5">
        <v>45</v>
      </c>
      <c r="D17" s="5">
        <v>45</v>
      </c>
      <c r="E17" s="5" t="s">
        <v>205</v>
      </c>
      <c r="F17" s="5" t="s">
        <v>206</v>
      </c>
      <c r="G17" s="5" t="s">
        <v>207</v>
      </c>
    </row>
    <row r="18" spans="2:7" x14ac:dyDescent="0.5">
      <c r="B18" s="8" t="s">
        <v>217</v>
      </c>
      <c r="C18" s="5">
        <f>SUBTOTAL(109,Table1019261615[TALLY])</f>
        <v>376</v>
      </c>
      <c r="D18" s="5">
        <f>SUBTOTAL(109,Table1019261615[AVAIL])</f>
        <v>257</v>
      </c>
      <c r="E18" s="5"/>
      <c r="F18" s="5"/>
      <c r="G18" s="5"/>
    </row>
  </sheetData>
  <mergeCells count="2">
    <mergeCell ref="B2:G2"/>
    <mergeCell ref="B11:G11"/>
  </mergeCells>
  <phoneticPr fontId="2"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D20A4-678C-4320-82BD-F74200BA17E9}">
  <dimension ref="B2:G19"/>
  <sheetViews>
    <sheetView workbookViewId="0">
      <selection activeCell="B3" sqref="B3"/>
    </sheetView>
  </sheetViews>
  <sheetFormatPr defaultRowHeight="14.35" x14ac:dyDescent="0.5"/>
  <cols>
    <col min="2" max="2" width="7.703125" bestFit="1" customWidth="1"/>
    <col min="3" max="3" width="20.9375" bestFit="1" customWidth="1"/>
    <col min="4" max="4" width="45.46875" bestFit="1" customWidth="1"/>
    <col min="5" max="5" width="36.29296875" bestFit="1" customWidth="1"/>
    <col min="6" max="7" width="15.8203125" bestFit="1" customWidth="1"/>
  </cols>
  <sheetData>
    <row r="2" spans="2:7" x14ac:dyDescent="0.5">
      <c r="B2" s="5" t="s">
        <v>428</v>
      </c>
      <c r="C2" s="5" t="s">
        <v>427</v>
      </c>
      <c r="D2" s="5" t="s">
        <v>153</v>
      </c>
      <c r="E2" s="5" t="s">
        <v>429</v>
      </c>
      <c r="F2" s="5" t="s">
        <v>430</v>
      </c>
      <c r="G2" s="5" t="s">
        <v>431</v>
      </c>
    </row>
    <row r="3" spans="2:7" x14ac:dyDescent="0.5">
      <c r="B3" s="6" t="s">
        <v>225</v>
      </c>
      <c r="C3" s="5" t="s">
        <v>283</v>
      </c>
      <c r="D3" s="25" t="s">
        <v>226</v>
      </c>
      <c r="E3" s="25" t="s">
        <v>227</v>
      </c>
      <c r="F3" s="5">
        <v>1073</v>
      </c>
      <c r="G3" s="5">
        <v>589</v>
      </c>
    </row>
    <row r="4" spans="2:7" ht="28.7" x14ac:dyDescent="0.5">
      <c r="B4" s="6" t="s">
        <v>228</v>
      </c>
      <c r="C4" s="1" t="s">
        <v>229</v>
      </c>
      <c r="D4" s="25" t="s">
        <v>284</v>
      </c>
      <c r="E4" s="25" t="s">
        <v>230</v>
      </c>
      <c r="F4" s="5">
        <v>758</v>
      </c>
      <c r="G4" s="5">
        <v>359</v>
      </c>
    </row>
    <row r="5" spans="2:7" x14ac:dyDescent="0.5">
      <c r="B5" s="6" t="s">
        <v>231</v>
      </c>
      <c r="C5" s="1" t="s">
        <v>232</v>
      </c>
      <c r="D5" s="25" t="s">
        <v>233</v>
      </c>
      <c r="E5" s="25" t="s">
        <v>234</v>
      </c>
      <c r="F5" s="2">
        <v>484</v>
      </c>
      <c r="G5" s="2">
        <v>200</v>
      </c>
    </row>
    <row r="6" spans="2:7" ht="28.7" x14ac:dyDescent="0.5">
      <c r="B6" s="6" t="s">
        <v>235</v>
      </c>
      <c r="C6" s="1" t="s">
        <v>236</v>
      </c>
      <c r="D6" s="25" t="s">
        <v>237</v>
      </c>
      <c r="E6" s="25" t="s">
        <v>238</v>
      </c>
      <c r="F6" s="5">
        <v>484</v>
      </c>
      <c r="G6" s="5">
        <v>200</v>
      </c>
    </row>
    <row r="7" spans="2:7" x14ac:dyDescent="0.5">
      <c r="B7" s="6" t="s">
        <v>239</v>
      </c>
      <c r="C7" s="1" t="s">
        <v>240</v>
      </c>
      <c r="D7" s="25" t="s">
        <v>241</v>
      </c>
      <c r="E7" s="25" t="s">
        <v>242</v>
      </c>
      <c r="F7" s="5">
        <v>484</v>
      </c>
      <c r="G7" s="5">
        <v>200</v>
      </c>
    </row>
    <row r="8" spans="2:7" ht="28.7" x14ac:dyDescent="0.5">
      <c r="B8" s="6" t="s">
        <v>243</v>
      </c>
      <c r="C8" s="1" t="s">
        <v>244</v>
      </c>
      <c r="D8" s="25" t="s">
        <v>245</v>
      </c>
      <c r="E8" s="25" t="s">
        <v>242</v>
      </c>
      <c r="F8" s="5">
        <v>484</v>
      </c>
      <c r="G8" s="5">
        <v>200</v>
      </c>
    </row>
    <row r="9" spans="2:7" x14ac:dyDescent="0.5">
      <c r="B9" s="6" t="s">
        <v>246</v>
      </c>
      <c r="C9" s="1" t="s">
        <v>247</v>
      </c>
      <c r="D9" s="26" t="s">
        <v>248</v>
      </c>
      <c r="E9" s="26" t="s">
        <v>249</v>
      </c>
      <c r="F9" s="5">
        <v>484</v>
      </c>
      <c r="G9" s="5">
        <v>200</v>
      </c>
    </row>
    <row r="10" spans="2:7" x14ac:dyDescent="0.5">
      <c r="B10" s="6" t="s">
        <v>250</v>
      </c>
      <c r="C10" s="1" t="s">
        <v>251</v>
      </c>
      <c r="D10" s="26" t="s">
        <v>252</v>
      </c>
      <c r="E10" s="26" t="s">
        <v>249</v>
      </c>
      <c r="F10" s="5">
        <v>462</v>
      </c>
      <c r="G10" s="5">
        <v>194</v>
      </c>
    </row>
    <row r="11" spans="2:7" ht="28.7" x14ac:dyDescent="0.5">
      <c r="B11" s="6" t="s">
        <v>253</v>
      </c>
      <c r="C11" s="1" t="s">
        <v>254</v>
      </c>
      <c r="D11" s="26" t="s">
        <v>255</v>
      </c>
      <c r="E11" s="26" t="s">
        <v>256</v>
      </c>
      <c r="F11" s="5">
        <v>462</v>
      </c>
      <c r="G11" s="5">
        <v>194</v>
      </c>
    </row>
    <row r="12" spans="2:7" x14ac:dyDescent="0.5">
      <c r="B12" s="6" t="s">
        <v>257</v>
      </c>
      <c r="C12" s="5" t="s">
        <v>258</v>
      </c>
      <c r="D12" s="26" t="s">
        <v>259</v>
      </c>
      <c r="E12" s="26" t="s">
        <v>249</v>
      </c>
      <c r="F12" s="5">
        <v>454</v>
      </c>
      <c r="G12" s="5">
        <v>188</v>
      </c>
    </row>
    <row r="13" spans="2:7" ht="28.7" x14ac:dyDescent="0.5">
      <c r="B13" s="6" t="s">
        <v>260</v>
      </c>
      <c r="C13" s="11" t="s">
        <v>261</v>
      </c>
      <c r="D13" s="26" t="s">
        <v>262</v>
      </c>
      <c r="E13" s="26" t="s">
        <v>263</v>
      </c>
      <c r="F13" s="5">
        <v>149</v>
      </c>
      <c r="G13" s="5">
        <v>65</v>
      </c>
    </row>
    <row r="14" spans="2:7" ht="28.7" x14ac:dyDescent="0.5">
      <c r="B14" s="6" t="s">
        <v>264</v>
      </c>
      <c r="C14" s="1" t="s">
        <v>265</v>
      </c>
      <c r="D14" s="26" t="s">
        <v>266</v>
      </c>
      <c r="E14" s="26" t="s">
        <v>267</v>
      </c>
      <c r="F14" s="5">
        <v>146</v>
      </c>
      <c r="G14" s="5">
        <v>64</v>
      </c>
    </row>
    <row r="15" spans="2:7" ht="57.35" x14ac:dyDescent="0.5">
      <c r="B15" s="6" t="s">
        <v>268</v>
      </c>
      <c r="C15" s="5" t="s">
        <v>432</v>
      </c>
      <c r="D15" s="26" t="s">
        <v>269</v>
      </c>
      <c r="E15" s="25" t="s">
        <v>242</v>
      </c>
      <c r="F15" s="5">
        <v>144</v>
      </c>
      <c r="G15" s="5">
        <v>62</v>
      </c>
    </row>
    <row r="16" spans="2:7" ht="43" x14ac:dyDescent="0.5">
      <c r="B16" s="6" t="s">
        <v>270</v>
      </c>
      <c r="C16" s="5" t="s">
        <v>433</v>
      </c>
      <c r="D16" s="26" t="s">
        <v>271</v>
      </c>
      <c r="E16" s="26" t="s">
        <v>272</v>
      </c>
      <c r="F16" s="5">
        <v>5</v>
      </c>
      <c r="G16" s="5">
        <v>3</v>
      </c>
    </row>
    <row r="17" spans="2:7" ht="28.7" x14ac:dyDescent="0.5">
      <c r="B17" s="6" t="s">
        <v>273</v>
      </c>
      <c r="C17" s="5" t="s">
        <v>434</v>
      </c>
      <c r="D17" s="25" t="s">
        <v>274</v>
      </c>
      <c r="E17" s="26" t="s">
        <v>267</v>
      </c>
      <c r="F17" s="5">
        <v>3</v>
      </c>
      <c r="G17" s="5">
        <v>2</v>
      </c>
    </row>
    <row r="18" spans="2:7" ht="28.7" x14ac:dyDescent="0.5">
      <c r="B18" s="6" t="s">
        <v>275</v>
      </c>
      <c r="C18" s="5" t="s">
        <v>276</v>
      </c>
      <c r="D18" s="26" t="s">
        <v>277</v>
      </c>
      <c r="E18" s="26" t="s">
        <v>278</v>
      </c>
      <c r="F18" s="5">
        <v>8</v>
      </c>
      <c r="G18" s="5">
        <v>7</v>
      </c>
    </row>
    <row r="19" spans="2:7" x14ac:dyDescent="0.5">
      <c r="B19" s="6" t="s">
        <v>279</v>
      </c>
      <c r="C19" s="5" t="s">
        <v>280</v>
      </c>
      <c r="D19" s="25" t="s">
        <v>281</v>
      </c>
      <c r="E19" s="25" t="s">
        <v>282</v>
      </c>
      <c r="F19" s="5">
        <v>6</v>
      </c>
      <c r="G19" s="5">
        <v>5</v>
      </c>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EC37-A4BA-4525-991A-C782DDE4C28C}">
  <dimension ref="B2:M10"/>
  <sheetViews>
    <sheetView topLeftCell="C1" workbookViewId="0">
      <selection activeCell="C21" sqref="C21"/>
    </sheetView>
  </sheetViews>
  <sheetFormatPr defaultRowHeight="14.35" x14ac:dyDescent="0.5"/>
  <cols>
    <col min="2" max="2" width="9.8203125" bestFit="1" customWidth="1"/>
    <col min="3" max="3" width="31.64453125" bestFit="1" customWidth="1"/>
    <col min="4" max="4" width="11" bestFit="1" customWidth="1"/>
    <col min="5" max="5" width="18.17578125" bestFit="1" customWidth="1"/>
    <col min="6" max="11" width="9.9375" bestFit="1" customWidth="1"/>
    <col min="12" max="12" width="10.1171875" bestFit="1" customWidth="1"/>
    <col min="13" max="13" width="13.17578125" bestFit="1" customWidth="1"/>
  </cols>
  <sheetData>
    <row r="2" spans="2:13" ht="28.7" x14ac:dyDescent="0.5">
      <c r="B2" s="35" t="s">
        <v>285</v>
      </c>
      <c r="C2" s="7" t="s">
        <v>107</v>
      </c>
      <c r="D2" s="7" t="s">
        <v>436</v>
      </c>
      <c r="E2" s="7" t="s">
        <v>435</v>
      </c>
      <c r="F2" s="7" t="s">
        <v>286</v>
      </c>
      <c r="G2" s="7" t="s">
        <v>287</v>
      </c>
      <c r="H2" s="7" t="s">
        <v>288</v>
      </c>
      <c r="I2" s="7" t="s">
        <v>289</v>
      </c>
      <c r="J2" s="7" t="s">
        <v>290</v>
      </c>
      <c r="K2" s="7" t="s">
        <v>291</v>
      </c>
      <c r="L2" s="7" t="s">
        <v>437</v>
      </c>
      <c r="M2" s="7" t="s">
        <v>438</v>
      </c>
    </row>
    <row r="3" spans="2:13" ht="28.7" x14ac:dyDescent="0.5">
      <c r="B3" s="5" t="s">
        <v>294</v>
      </c>
      <c r="C3" s="5" t="s">
        <v>293</v>
      </c>
      <c r="D3" s="6" t="s">
        <v>292</v>
      </c>
      <c r="E3" s="5">
        <v>2022</v>
      </c>
      <c r="F3" s="5" t="s">
        <v>112</v>
      </c>
      <c r="G3" s="5" t="s">
        <v>112</v>
      </c>
      <c r="H3" s="5" t="s">
        <v>112</v>
      </c>
      <c r="I3" s="5" t="s">
        <v>112</v>
      </c>
      <c r="J3" s="5" t="s">
        <v>112</v>
      </c>
      <c r="K3" s="5" t="s">
        <v>295</v>
      </c>
      <c r="L3" s="9">
        <f>SUM(COUNTIF(Table2529[[#This Row],[QF-01]:[QF-06]],"YES"),COUNTIF(Table2529[[#This Row],[QF-01]:[QF-06]],"PARTIALLY")/2,COUNTIF(Table2529[[#This Row],[QF-01]:[QF-06]],"YES/NO"))/COUNTA(Table2529[[#This Row],[QF-01]:[QF-06]])</f>
        <v>0.91666666666666663</v>
      </c>
      <c r="M3" s="10" t="str">
        <f>IF(Table2529[[#This Row],[SC]]&gt;0.7, "YES", "NO")</f>
        <v>YES</v>
      </c>
    </row>
    <row r="4" spans="2:13" ht="28.7" x14ac:dyDescent="0.5">
      <c r="B4" s="5" t="s">
        <v>298</v>
      </c>
      <c r="C4" s="5" t="s">
        <v>297</v>
      </c>
      <c r="D4" s="6" t="s">
        <v>296</v>
      </c>
      <c r="E4" s="5">
        <v>2011</v>
      </c>
      <c r="F4" s="5" t="s">
        <v>112</v>
      </c>
      <c r="G4" s="5" t="s">
        <v>112</v>
      </c>
      <c r="H4" s="5" t="s">
        <v>112</v>
      </c>
      <c r="I4" s="5" t="s">
        <v>112</v>
      </c>
      <c r="J4" s="5" t="s">
        <v>112</v>
      </c>
      <c r="K4" s="5" t="s">
        <v>295</v>
      </c>
      <c r="L4" s="9">
        <f>SUM(COUNTIF(Table2529[[#This Row],[QF-01]:[QF-06]],"YES"),COUNTIF(Table2529[[#This Row],[QF-01]:[QF-06]],"PARTIALLY")/2,COUNTIF(Table2529[[#This Row],[QF-01]:[QF-06]],"YES/NO"))/COUNTA(Table2529[[#This Row],[QF-01]:[QF-06]])</f>
        <v>0.91666666666666663</v>
      </c>
      <c r="M4" s="10" t="str">
        <f>IF(Table2529[[#This Row],[SC]]&gt;0.7, "YES", "NO")</f>
        <v>YES</v>
      </c>
    </row>
    <row r="5" spans="2:13" ht="28.7" x14ac:dyDescent="0.5">
      <c r="B5" s="5" t="s">
        <v>301</v>
      </c>
      <c r="C5" s="5" t="s">
        <v>300</v>
      </c>
      <c r="D5" s="6" t="s">
        <v>299</v>
      </c>
      <c r="E5" s="5">
        <v>2010</v>
      </c>
      <c r="F5" s="5" t="s">
        <v>112</v>
      </c>
      <c r="G5" s="5" t="s">
        <v>112</v>
      </c>
      <c r="H5" s="5" t="s">
        <v>112</v>
      </c>
      <c r="I5" s="5" t="s">
        <v>112</v>
      </c>
      <c r="J5" s="5" t="s">
        <v>112</v>
      </c>
      <c r="K5" s="5" t="s">
        <v>295</v>
      </c>
      <c r="L5" s="9">
        <f>SUM(COUNTIF(Table2529[[#This Row],[QF-01]:[QF-06]],"YES"),COUNTIF(Table2529[[#This Row],[QF-01]:[QF-06]],"PARTIALLY")/2,COUNTIF(Table2529[[#This Row],[QF-01]:[QF-06]],"YES/NO"))/COUNTA(Table2529[[#This Row],[QF-01]:[QF-06]])</f>
        <v>0.91666666666666663</v>
      </c>
      <c r="M5" s="10" t="str">
        <f>IF(Table2529[[#This Row],[SC]]&gt;0.7, "YES", "NO")</f>
        <v>YES</v>
      </c>
    </row>
    <row r="6" spans="2:13" ht="28.7" x14ac:dyDescent="0.5">
      <c r="B6" s="5" t="s">
        <v>304</v>
      </c>
      <c r="C6" s="5" t="s">
        <v>303</v>
      </c>
      <c r="D6" s="6" t="s">
        <v>302</v>
      </c>
      <c r="E6" s="5">
        <v>2009</v>
      </c>
      <c r="F6" s="5" t="s">
        <v>112</v>
      </c>
      <c r="G6" s="5" t="s">
        <v>112</v>
      </c>
      <c r="H6" s="5" t="s">
        <v>112</v>
      </c>
      <c r="I6" s="5" t="s">
        <v>295</v>
      </c>
      <c r="J6" s="5" t="s">
        <v>295</v>
      </c>
      <c r="K6" s="5" t="s">
        <v>305</v>
      </c>
      <c r="L6" s="9">
        <f>SUM(COUNTIF(Table2529[[#This Row],[QF-01]:[QF-06]],"YES"),COUNTIF(Table2529[[#This Row],[QF-01]:[QF-06]],"PARTIALLY")/2,COUNTIF(Table2529[[#This Row],[QF-01]:[QF-06]],"YES/NO"))/COUNTA(Table2529[[#This Row],[QF-01]:[QF-06]])</f>
        <v>0.66666666666666663</v>
      </c>
      <c r="M6" s="10" t="str">
        <f>IF(Table2529[[#This Row],[SC]]&gt;0.7, "YES", "NO")</f>
        <v>NO</v>
      </c>
    </row>
    <row r="7" spans="2:13" ht="28.7" x14ac:dyDescent="0.5">
      <c r="B7" s="5" t="s">
        <v>308</v>
      </c>
      <c r="C7" s="5" t="s">
        <v>307</v>
      </c>
      <c r="D7" s="6" t="s">
        <v>306</v>
      </c>
      <c r="E7" s="5">
        <v>2008</v>
      </c>
      <c r="F7" s="5" t="s">
        <v>112</v>
      </c>
      <c r="G7" s="5" t="s">
        <v>112</v>
      </c>
      <c r="H7" s="5" t="s">
        <v>112</v>
      </c>
      <c r="I7" s="5" t="s">
        <v>112</v>
      </c>
      <c r="J7" s="5" t="s">
        <v>295</v>
      </c>
      <c r="K7" s="5" t="s">
        <v>305</v>
      </c>
      <c r="L7" s="9">
        <f>SUM(COUNTIF(Table2529[[#This Row],[QF-01]:[QF-06]],"YES"),COUNTIF(Table2529[[#This Row],[QF-01]:[QF-06]],"PARTIALLY")/2,COUNTIF(Table2529[[#This Row],[QF-01]:[QF-06]],"YES/NO"))/COUNTA(Table2529[[#This Row],[QF-01]:[QF-06]])</f>
        <v>0.75</v>
      </c>
      <c r="M7" s="10" t="str">
        <f>IF(Table2529[[#This Row],[SC]]&gt;0.7, "YES", "NO")</f>
        <v>YES</v>
      </c>
    </row>
    <row r="8" spans="2:13" ht="28.7" x14ac:dyDescent="0.5">
      <c r="B8" s="5" t="s">
        <v>311</v>
      </c>
      <c r="C8" s="5" t="s">
        <v>310</v>
      </c>
      <c r="D8" s="6" t="s">
        <v>309</v>
      </c>
      <c r="E8" s="5">
        <v>2008</v>
      </c>
      <c r="F8" s="5" t="s">
        <v>112</v>
      </c>
      <c r="G8" s="5" t="s">
        <v>112</v>
      </c>
      <c r="H8" s="5" t="s">
        <v>112</v>
      </c>
      <c r="I8" s="5" t="s">
        <v>112</v>
      </c>
      <c r="J8" s="5" t="s">
        <v>295</v>
      </c>
      <c r="K8" s="5" t="s">
        <v>305</v>
      </c>
      <c r="L8" s="9">
        <f>SUM(COUNTIF(Table2529[[#This Row],[QF-01]:[QF-06]],"YES"),COUNTIF(Table2529[[#This Row],[QF-01]:[QF-06]],"PARTIALLY")/2,COUNTIF(Table2529[[#This Row],[QF-01]:[QF-06]],"YES/NO"))/COUNTA(Table2529[[#This Row],[QF-01]:[QF-06]])</f>
        <v>0.75</v>
      </c>
      <c r="M8" s="10" t="str">
        <f>IF(Table2529[[#This Row],[SC]]&gt;0.7, "YES", "NO")</f>
        <v>YES</v>
      </c>
    </row>
    <row r="9" spans="2:13" ht="28.7" x14ac:dyDescent="0.5">
      <c r="B9" s="5" t="s">
        <v>314</v>
      </c>
      <c r="C9" s="5" t="s">
        <v>313</v>
      </c>
      <c r="D9" s="6" t="s">
        <v>312</v>
      </c>
      <c r="E9" s="5">
        <v>2008</v>
      </c>
      <c r="F9" s="5" t="s">
        <v>112</v>
      </c>
      <c r="G9" s="5" t="s">
        <v>112</v>
      </c>
      <c r="H9" s="5" t="s">
        <v>112</v>
      </c>
      <c r="I9" s="5" t="s">
        <v>112</v>
      </c>
      <c r="J9" s="5" t="s">
        <v>295</v>
      </c>
      <c r="K9" s="5" t="s">
        <v>305</v>
      </c>
      <c r="L9" s="9">
        <f>SUM(COUNTIF(Table2529[[#This Row],[QF-01]:[QF-06]],"YES"),COUNTIF(Table2529[[#This Row],[QF-01]:[QF-06]],"PARTIALLY")/2,COUNTIF(Table2529[[#This Row],[QF-01]:[QF-06]],"YES/NO"))/COUNTA(Table2529[[#This Row],[QF-01]:[QF-06]])</f>
        <v>0.75</v>
      </c>
      <c r="M9" s="10" t="str">
        <f>IF(Table2529[[#This Row],[SC]]&gt;0.7, "YES", "NO")</f>
        <v>YES</v>
      </c>
    </row>
    <row r="10" spans="2:13" ht="43" x14ac:dyDescent="0.5">
      <c r="B10" s="34" t="s">
        <v>317</v>
      </c>
      <c r="C10" s="5" t="s">
        <v>316</v>
      </c>
      <c r="D10" s="6" t="s">
        <v>315</v>
      </c>
      <c r="E10" s="5">
        <v>2007</v>
      </c>
      <c r="F10" s="5" t="s">
        <v>112</v>
      </c>
      <c r="G10" s="5" t="s">
        <v>112</v>
      </c>
      <c r="H10" s="5" t="s">
        <v>112</v>
      </c>
      <c r="I10" s="5" t="s">
        <v>295</v>
      </c>
      <c r="J10" s="5" t="s">
        <v>295</v>
      </c>
      <c r="K10" s="5" t="s">
        <v>305</v>
      </c>
      <c r="L10" s="9">
        <f>SUM(COUNTIF(Table2529[[#This Row],[QF-01]:[QF-06]],"YES"),COUNTIF(Table2529[[#This Row],[QF-01]:[QF-06]],"PARTIALLY")/2,COUNTIF(Table2529[[#This Row],[QF-01]:[QF-06]],"YES/NO"))/COUNTA(Table2529[[#This Row],[QF-01]:[QF-06]])</f>
        <v>0.66666666666666663</v>
      </c>
      <c r="M10" s="10" t="str">
        <f>IF(Table2529[[#This Row],[SC]]&gt;0.7, "YES", "NO")</f>
        <v>NO</v>
      </c>
    </row>
  </sheetData>
  <conditionalFormatting sqref="B3:B10">
    <cfRule type="cellIs" dxfId="5" priority="1" operator="equal">
      <formula>$M$6</formula>
    </cfRule>
    <cfRule type="duplicateValues" dxfId="4" priority="2"/>
  </conditionalFormatting>
  <conditionalFormatting sqref="C3:C4">
    <cfRule type="duplicateValues" dxfId="3" priority="5"/>
  </conditionalFormatting>
  <conditionalFormatting sqref="C5:C10">
    <cfRule type="duplicateValues" dxfId="2" priority="4"/>
  </conditionalFormatting>
  <conditionalFormatting sqref="C3:M10">
    <cfRule type="cellIs" dxfId="1" priority="3" operator="equal">
      <formula>$M$6</formula>
    </cfRule>
  </conditionalFormatting>
  <conditionalFormatting sqref="D3:D10">
    <cfRule type="duplicateValues" dxfId="0" priority="6"/>
  </conditionalFormatting>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B834-6F2F-43B3-BD24-5E2CCDE914C1}">
  <dimension ref="B2:J11"/>
  <sheetViews>
    <sheetView topLeftCell="B1" workbookViewId="0">
      <selection activeCell="D2" sqref="D2:J11"/>
    </sheetView>
  </sheetViews>
  <sheetFormatPr defaultRowHeight="14.35" x14ac:dyDescent="0.5"/>
  <cols>
    <col min="2" max="3" width="45.8203125" bestFit="1" customWidth="1"/>
    <col min="4" max="4" width="7.17578125" bestFit="1" customWidth="1"/>
    <col min="5" max="5" width="12.29296875" bestFit="1" customWidth="1"/>
    <col min="6" max="6" width="11.29296875" bestFit="1" customWidth="1"/>
    <col min="7" max="7" width="9.29296875" bestFit="1" customWidth="1"/>
    <col min="8" max="8" width="18.703125" bestFit="1" customWidth="1"/>
    <col min="9" max="9" width="18.9375" bestFit="1" customWidth="1"/>
    <col min="10" max="10" width="46.29296875" bestFit="1" customWidth="1"/>
  </cols>
  <sheetData>
    <row r="2" spans="2:10" x14ac:dyDescent="0.5">
      <c r="B2" s="5" t="s">
        <v>106</v>
      </c>
      <c r="C2" s="5" t="s">
        <v>107</v>
      </c>
      <c r="D2" s="2" t="s">
        <v>47</v>
      </c>
      <c r="E2" s="2" t="s">
        <v>318</v>
      </c>
      <c r="F2" s="2" t="s">
        <v>319</v>
      </c>
      <c r="G2" s="2" t="s">
        <v>320</v>
      </c>
      <c r="H2" s="2" t="s">
        <v>321</v>
      </c>
      <c r="I2" s="2" t="s">
        <v>108</v>
      </c>
      <c r="J2" s="5" t="s">
        <v>322</v>
      </c>
    </row>
    <row r="3" spans="2:10" ht="28.7" x14ac:dyDescent="0.5">
      <c r="B3" s="5" t="s">
        <v>323</v>
      </c>
      <c r="C3" s="27" t="s">
        <v>323</v>
      </c>
      <c r="D3" s="8" t="s">
        <v>324</v>
      </c>
      <c r="E3" s="28">
        <v>5778</v>
      </c>
      <c r="F3" s="28">
        <v>1376</v>
      </c>
      <c r="G3" s="9">
        <f>Table101626[[#This Row],[Types]]/Table101626[[#This Row],[Words]]</f>
        <v>0.23814468674281758</v>
      </c>
      <c r="H3" s="9">
        <v>25.45</v>
      </c>
      <c r="I3" s="9">
        <v>23.052</v>
      </c>
      <c r="J3" s="26" t="s">
        <v>325</v>
      </c>
    </row>
    <row r="4" spans="2:10" ht="28.7" x14ac:dyDescent="0.5">
      <c r="B4" s="5" t="s">
        <v>102</v>
      </c>
      <c r="C4" s="27" t="s">
        <v>102</v>
      </c>
      <c r="D4" s="8" t="s">
        <v>326</v>
      </c>
      <c r="E4" s="28">
        <v>10370</v>
      </c>
      <c r="F4" s="28">
        <v>2230</v>
      </c>
      <c r="G4" s="9">
        <f>Table101626[[#This Row],[Types]]/Table101626[[#This Row],[Words]]</f>
        <v>0.21504339440694312</v>
      </c>
      <c r="H4" s="9">
        <v>22.35</v>
      </c>
      <c r="I4" s="9">
        <v>12.413</v>
      </c>
      <c r="J4" s="26" t="s">
        <v>327</v>
      </c>
    </row>
    <row r="5" spans="2:10" x14ac:dyDescent="0.5">
      <c r="B5" s="5" t="s">
        <v>328</v>
      </c>
      <c r="C5" s="27" t="s">
        <v>104</v>
      </c>
      <c r="D5" s="8" t="s">
        <v>329</v>
      </c>
      <c r="E5" s="28">
        <v>20765</v>
      </c>
      <c r="F5" s="28">
        <v>3996</v>
      </c>
      <c r="G5" s="9">
        <f>Table101626[[#This Row],[Types]]/Table101626[[#This Row],[Words]]</f>
        <v>0.19243920057789549</v>
      </c>
      <c r="H5" s="9">
        <v>26.9</v>
      </c>
      <c r="I5" s="9">
        <v>15.583</v>
      </c>
      <c r="J5" s="26" t="s">
        <v>330</v>
      </c>
    </row>
    <row r="6" spans="2:10" ht="28.7" x14ac:dyDescent="0.5">
      <c r="B6" s="5" t="s">
        <v>331</v>
      </c>
      <c r="C6" s="5" t="s">
        <v>332</v>
      </c>
      <c r="D6" s="8" t="s">
        <v>333</v>
      </c>
      <c r="E6" s="28">
        <v>9348</v>
      </c>
      <c r="F6" s="28">
        <v>2106</v>
      </c>
      <c r="G6" s="9">
        <f>Table101626[[#This Row],[Types]]/Table101626[[#This Row],[Words]]</f>
        <v>0.22528883183568676</v>
      </c>
      <c r="H6" s="9">
        <v>26.41</v>
      </c>
      <c r="I6" s="9">
        <v>12.651</v>
      </c>
      <c r="J6" s="26" t="s">
        <v>334</v>
      </c>
    </row>
    <row r="7" spans="2:10" x14ac:dyDescent="0.5">
      <c r="B7" s="5" t="s">
        <v>335</v>
      </c>
      <c r="C7" s="5" t="s">
        <v>336</v>
      </c>
      <c r="D7" s="8" t="s">
        <v>337</v>
      </c>
      <c r="E7" s="28">
        <v>3246</v>
      </c>
      <c r="F7" s="28">
        <v>1020</v>
      </c>
      <c r="G7" s="9">
        <f>Table101626[[#This Row],[Types]]/Table101626[[#This Row],[Words]]</f>
        <v>0.3142329020332717</v>
      </c>
      <c r="H7" s="9">
        <v>29.24</v>
      </c>
      <c r="I7" s="9">
        <v>12.619</v>
      </c>
      <c r="J7" s="26" t="s">
        <v>338</v>
      </c>
    </row>
    <row r="8" spans="2:10" ht="28.7" x14ac:dyDescent="0.5">
      <c r="B8" s="5" t="s">
        <v>105</v>
      </c>
      <c r="C8" s="5" t="s">
        <v>313</v>
      </c>
      <c r="D8" s="8" t="s">
        <v>339</v>
      </c>
      <c r="E8" s="28">
        <v>6789</v>
      </c>
      <c r="F8" s="28">
        <v>1606</v>
      </c>
      <c r="G8" s="9">
        <f>Table101626[[#This Row],[Types]]/Table101626[[#This Row],[Words]]</f>
        <v>0.23655913978494625</v>
      </c>
      <c r="H8" s="9">
        <v>26.11</v>
      </c>
      <c r="I8" s="9">
        <v>14.256</v>
      </c>
      <c r="J8" s="26" t="s">
        <v>340</v>
      </c>
    </row>
    <row r="9" spans="2:10" x14ac:dyDescent="0.5">
      <c r="B9" s="5"/>
      <c r="C9" s="5"/>
      <c r="D9" s="2" t="s">
        <v>109</v>
      </c>
      <c r="E9" s="29">
        <f>SUBTOTAL(101,Table101626[Words])</f>
        <v>9382.6666666666661</v>
      </c>
      <c r="F9" s="28">
        <f>SUBTOTAL(101,Table101626[Types])</f>
        <v>2055.6666666666665</v>
      </c>
      <c r="G9" s="9">
        <f>SUBTOTAL(101,Table101626[Ratio])</f>
        <v>0.23695135923026014</v>
      </c>
      <c r="H9" s="9">
        <f>SUBTOTAL(101,Table101626[Words/Sentence])</f>
        <v>26.076666666666664</v>
      </c>
      <c r="I9" s="9">
        <f>SUBTOTAL(101,Table101626[Readability Index])</f>
        <v>15.095666666666666</v>
      </c>
      <c r="J9" s="26"/>
    </row>
    <row r="10" spans="2:10" x14ac:dyDescent="0.5">
      <c r="B10" s="5"/>
      <c r="C10" s="5"/>
      <c r="D10" s="30" t="s">
        <v>110</v>
      </c>
      <c r="E10" s="40">
        <f>MIN(Table101626[Words])</f>
        <v>3246</v>
      </c>
      <c r="F10" s="40">
        <f>MIN(Table101626[Types])</f>
        <v>1020</v>
      </c>
      <c r="G10" s="31">
        <f>MIN(Table101626[Ratio])</f>
        <v>0.19243920057789549</v>
      </c>
      <c r="H10" s="31">
        <f>MIN(Table101626[Words/Sentence])</f>
        <v>22.35</v>
      </c>
      <c r="I10" s="31">
        <f>MIN(Table101626[Readability Index])</f>
        <v>12.413</v>
      </c>
      <c r="J10" s="26"/>
    </row>
    <row r="11" spans="2:10" x14ac:dyDescent="0.5">
      <c r="B11" s="5"/>
      <c r="C11" s="5"/>
      <c r="D11" s="32" t="s">
        <v>111</v>
      </c>
      <c r="E11" s="41">
        <f>MAX(Table101626[Words])</f>
        <v>20765</v>
      </c>
      <c r="F11" s="41">
        <f>MAX(Table101626[Types])</f>
        <v>3996</v>
      </c>
      <c r="G11" s="33">
        <f>MAX(Table101626[Ratio])</f>
        <v>0.3142329020332717</v>
      </c>
      <c r="H11" s="33">
        <f>MAX(Table101626[Words/Sentence])</f>
        <v>29.24</v>
      </c>
      <c r="I11" s="33">
        <f>MAX(Table101626[Readability Index])</f>
        <v>23.052</v>
      </c>
      <c r="J11" s="26"/>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96DF-B840-4B73-9F84-4076753DE18E}">
  <dimension ref="B2:P8"/>
  <sheetViews>
    <sheetView topLeftCell="B1" workbookViewId="0">
      <selection activeCell="J8" sqref="D2:J8"/>
    </sheetView>
  </sheetViews>
  <sheetFormatPr defaultRowHeight="14.35" x14ac:dyDescent="0.5"/>
  <cols>
    <col min="2" max="2" width="40.29296875" bestFit="1" customWidth="1"/>
    <col min="3" max="3" width="29.64453125" bestFit="1" customWidth="1"/>
    <col min="4" max="4" width="6.87890625" bestFit="1" customWidth="1"/>
    <col min="5" max="5" width="12.76171875" bestFit="1" customWidth="1"/>
    <col min="6" max="6" width="13.234375" bestFit="1" customWidth="1"/>
    <col min="7" max="7" width="12.76171875" bestFit="1" customWidth="1"/>
    <col min="8" max="8" width="13" bestFit="1" customWidth="1"/>
    <col min="9" max="9" width="13.76171875" bestFit="1" customWidth="1"/>
    <col min="10" max="10" width="43.1171875" bestFit="1" customWidth="1"/>
    <col min="12" max="12" width="9.41015625" bestFit="1" customWidth="1"/>
    <col min="13" max="13" width="38.52734375" customWidth="1"/>
    <col min="14" max="14" width="23.52734375" bestFit="1" customWidth="1"/>
    <col min="15" max="15" width="30.1171875" bestFit="1" customWidth="1"/>
    <col min="16" max="16" width="9.46875" bestFit="1" customWidth="1"/>
    <col min="17" max="21" width="39.3515625" customWidth="1"/>
  </cols>
  <sheetData>
    <row r="2" spans="2:16" x14ac:dyDescent="0.5">
      <c r="B2" s="5" t="s">
        <v>381</v>
      </c>
      <c r="C2" s="5" t="s">
        <v>105</v>
      </c>
      <c r="D2" s="2" t="s">
        <v>47</v>
      </c>
      <c r="E2" s="2" t="s">
        <v>382</v>
      </c>
      <c r="F2" s="2" t="s">
        <v>383</v>
      </c>
      <c r="G2" s="2" t="s">
        <v>384</v>
      </c>
      <c r="H2" s="2" t="s">
        <v>385</v>
      </c>
      <c r="I2" s="2" t="s">
        <v>386</v>
      </c>
      <c r="J2" s="5" t="s">
        <v>457</v>
      </c>
      <c r="L2" s="2" t="s">
        <v>452</v>
      </c>
      <c r="M2" s="5" t="s">
        <v>453</v>
      </c>
      <c r="N2" s="5" t="s">
        <v>456</v>
      </c>
      <c r="O2" s="5" t="s">
        <v>454</v>
      </c>
      <c r="P2" s="2" t="s">
        <v>455</v>
      </c>
    </row>
    <row r="3" spans="2:16" ht="28.7" x14ac:dyDescent="0.5">
      <c r="B3" s="5" t="s">
        <v>323</v>
      </c>
      <c r="C3" s="5" t="s">
        <v>323</v>
      </c>
      <c r="D3" s="8" t="s">
        <v>324</v>
      </c>
      <c r="E3" s="42">
        <v>0.74950000000000006</v>
      </c>
      <c r="F3" s="42">
        <v>6.8600000000000008E-2</v>
      </c>
      <c r="G3" s="42">
        <v>8.7599999999999997E-2</v>
      </c>
      <c r="H3" s="43">
        <v>4.5700000000000005E-2</v>
      </c>
      <c r="I3" s="43">
        <v>4.8600000000000004E-2</v>
      </c>
      <c r="J3" s="5" t="s">
        <v>387</v>
      </c>
      <c r="L3" s="8" t="s">
        <v>388</v>
      </c>
      <c r="M3" s="5" t="s">
        <v>389</v>
      </c>
      <c r="N3" s="5" t="s">
        <v>390</v>
      </c>
      <c r="O3" s="5" t="s">
        <v>391</v>
      </c>
      <c r="P3" s="2" t="s">
        <v>382</v>
      </c>
    </row>
    <row r="4" spans="2:16" ht="28.7" x14ac:dyDescent="0.5">
      <c r="B4" s="5" t="s">
        <v>102</v>
      </c>
      <c r="C4" s="5" t="s">
        <v>102</v>
      </c>
      <c r="D4" s="8" t="s">
        <v>326</v>
      </c>
      <c r="E4" s="42">
        <v>6.7599999999999993E-2</v>
      </c>
      <c r="F4" s="42">
        <v>0.1</v>
      </c>
      <c r="G4" s="42">
        <v>0.1057</v>
      </c>
      <c r="H4" s="43">
        <v>0.36380000000000001</v>
      </c>
      <c r="I4" s="43">
        <v>0.3629</v>
      </c>
      <c r="J4" s="5" t="s">
        <v>392</v>
      </c>
      <c r="L4" s="8" t="s">
        <v>393</v>
      </c>
      <c r="M4" s="5" t="s">
        <v>394</v>
      </c>
      <c r="N4" s="5" t="s">
        <v>395</v>
      </c>
      <c r="O4" s="5" t="s">
        <v>396</v>
      </c>
      <c r="P4" s="2" t="s">
        <v>383</v>
      </c>
    </row>
    <row r="5" spans="2:16" ht="28.7" x14ac:dyDescent="0.5">
      <c r="B5" s="5" t="s">
        <v>328</v>
      </c>
      <c r="C5" s="5" t="s">
        <v>104</v>
      </c>
      <c r="D5" s="8" t="s">
        <v>329</v>
      </c>
      <c r="E5" s="42">
        <v>0.3286</v>
      </c>
      <c r="F5" s="42">
        <v>0.11710000000000001</v>
      </c>
      <c r="G5" s="42">
        <v>0.19140000000000001</v>
      </c>
      <c r="H5" s="43">
        <v>0.28949999999999998</v>
      </c>
      <c r="I5" s="43">
        <v>7.3300000000000004E-2</v>
      </c>
      <c r="J5" s="5" t="s">
        <v>397</v>
      </c>
      <c r="L5" s="8" t="s">
        <v>398</v>
      </c>
      <c r="M5" s="5" t="s">
        <v>399</v>
      </c>
      <c r="N5" s="5" t="s">
        <v>400</v>
      </c>
      <c r="O5" s="5" t="s">
        <v>401</v>
      </c>
      <c r="P5" s="2" t="s">
        <v>384</v>
      </c>
    </row>
    <row r="6" spans="2:16" ht="43" x14ac:dyDescent="0.5">
      <c r="B6" s="5" t="s">
        <v>331</v>
      </c>
      <c r="C6" s="5" t="s">
        <v>332</v>
      </c>
      <c r="D6" s="8" t="s">
        <v>333</v>
      </c>
      <c r="E6" s="42">
        <v>1.8100000000000002E-2</v>
      </c>
      <c r="F6" s="42">
        <v>0.23519999999999999</v>
      </c>
      <c r="G6" s="42">
        <v>8.48E-2</v>
      </c>
      <c r="H6" s="43">
        <v>0.23620000000000002</v>
      </c>
      <c r="I6" s="43">
        <v>0.42570000000000002</v>
      </c>
      <c r="J6" s="5" t="s">
        <v>402</v>
      </c>
      <c r="L6" s="8" t="s">
        <v>403</v>
      </c>
      <c r="M6" s="5" t="s">
        <v>404</v>
      </c>
      <c r="N6" s="5" t="s">
        <v>405</v>
      </c>
      <c r="O6" s="5" t="s">
        <v>406</v>
      </c>
      <c r="P6" s="2" t="s">
        <v>385</v>
      </c>
    </row>
    <row r="7" spans="2:16" ht="28.7" x14ac:dyDescent="0.5">
      <c r="B7" s="5" t="s">
        <v>335</v>
      </c>
      <c r="C7" s="5" t="s">
        <v>336</v>
      </c>
      <c r="D7" s="8" t="s">
        <v>337</v>
      </c>
      <c r="E7" s="42">
        <v>3.9E-2</v>
      </c>
      <c r="F7" s="42">
        <v>0.32189999999999996</v>
      </c>
      <c r="G7" s="42">
        <v>0.24379999999999999</v>
      </c>
      <c r="H7" s="43">
        <v>0.37709999999999999</v>
      </c>
      <c r="I7" s="43">
        <v>1.8100000000000002E-2</v>
      </c>
      <c r="J7" s="5" t="s">
        <v>407</v>
      </c>
      <c r="L7" s="8" t="s">
        <v>408</v>
      </c>
      <c r="M7" s="34" t="s">
        <v>409</v>
      </c>
      <c r="N7" s="5" t="s">
        <v>410</v>
      </c>
      <c r="O7" s="5" t="s">
        <v>411</v>
      </c>
      <c r="P7" s="2" t="s">
        <v>386</v>
      </c>
    </row>
    <row r="8" spans="2:16" ht="28.7" x14ac:dyDescent="0.5">
      <c r="B8" s="5" t="s">
        <v>105</v>
      </c>
      <c r="C8" s="5" t="s">
        <v>313</v>
      </c>
      <c r="D8" s="8" t="s">
        <v>339</v>
      </c>
      <c r="E8" s="42">
        <v>2.9500000000000002E-2</v>
      </c>
      <c r="F8" s="42">
        <v>0.26950000000000002</v>
      </c>
      <c r="G8" s="42">
        <v>0.42859999999999998</v>
      </c>
      <c r="H8" s="43">
        <v>0.1857</v>
      </c>
      <c r="I8" s="43">
        <v>8.6699999999999999E-2</v>
      </c>
      <c r="J8" s="5" t="s">
        <v>412</v>
      </c>
      <c r="M8" s="44"/>
      <c r="N8" s="44"/>
      <c r="O8" s="44"/>
    </row>
  </sheetData>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86DD9-FA3A-46B3-8B8C-8CEC3FA488A2}">
  <dimension ref="B2:E8"/>
  <sheetViews>
    <sheetView workbookViewId="0">
      <selection activeCell="B2" sqref="B2:E8"/>
    </sheetView>
  </sheetViews>
  <sheetFormatPr defaultRowHeight="14.35" x14ac:dyDescent="0.5"/>
  <cols>
    <col min="2" max="2" width="11" style="2" bestFit="1" customWidth="1"/>
    <col min="3" max="3" width="26.87890625" style="2" customWidth="1"/>
    <col min="4" max="4" width="15.52734375" style="2" bestFit="1" customWidth="1"/>
    <col min="5" max="5" width="85.46875" style="2" bestFit="1" customWidth="1"/>
    <col min="6" max="7" width="89.17578125" customWidth="1"/>
  </cols>
  <sheetData>
    <row r="2" spans="2:5" x14ac:dyDescent="0.5">
      <c r="B2" s="2" t="s">
        <v>458</v>
      </c>
      <c r="C2" s="5" t="s">
        <v>439</v>
      </c>
      <c r="D2" s="5" t="s">
        <v>459</v>
      </c>
      <c r="E2" s="5" t="s">
        <v>429</v>
      </c>
    </row>
    <row r="3" spans="2:5" ht="43" x14ac:dyDescent="0.5">
      <c r="B3" s="2" t="s">
        <v>324</v>
      </c>
      <c r="C3" s="5" t="s">
        <v>323</v>
      </c>
      <c r="D3" s="5" t="s">
        <v>413</v>
      </c>
      <c r="E3" s="25" t="s">
        <v>446</v>
      </c>
    </row>
    <row r="4" spans="2:5" ht="28.7" x14ac:dyDescent="0.5">
      <c r="B4" s="2" t="s">
        <v>326</v>
      </c>
      <c r="C4" s="5" t="s">
        <v>102</v>
      </c>
      <c r="D4" s="5" t="s">
        <v>414</v>
      </c>
      <c r="E4" s="25" t="s">
        <v>448</v>
      </c>
    </row>
    <row r="5" spans="2:5" ht="43" x14ac:dyDescent="0.5">
      <c r="B5" s="2" t="s">
        <v>329</v>
      </c>
      <c r="C5" s="5" t="s">
        <v>104</v>
      </c>
      <c r="D5" s="5" t="s">
        <v>415</v>
      </c>
      <c r="E5" s="25" t="s">
        <v>449</v>
      </c>
    </row>
    <row r="6" spans="2:5" ht="43" x14ac:dyDescent="0.5">
      <c r="B6" s="2" t="s">
        <v>333</v>
      </c>
      <c r="C6" s="5" t="s">
        <v>332</v>
      </c>
      <c r="D6" s="5" t="s">
        <v>416</v>
      </c>
      <c r="E6" s="25" t="s">
        <v>450</v>
      </c>
    </row>
    <row r="7" spans="2:5" ht="43" x14ac:dyDescent="0.5">
      <c r="B7" s="2" t="s">
        <v>337</v>
      </c>
      <c r="C7" s="5" t="s">
        <v>336</v>
      </c>
      <c r="D7" s="5" t="s">
        <v>416</v>
      </c>
      <c r="E7" s="25" t="s">
        <v>451</v>
      </c>
    </row>
    <row r="8" spans="2:5" ht="43" x14ac:dyDescent="0.5">
      <c r="B8" s="2" t="s">
        <v>339</v>
      </c>
      <c r="C8" s="5" t="s">
        <v>313</v>
      </c>
      <c r="D8" s="5" t="s">
        <v>413</v>
      </c>
      <c r="E8" s="25" t="s">
        <v>447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A1163-1BC7-4BF8-9117-3A17CC2AED2C}">
  <dimension ref="B2:K8"/>
  <sheetViews>
    <sheetView topLeftCell="C1" workbookViewId="0">
      <selection activeCell="I20" sqref="I20"/>
    </sheetView>
  </sheetViews>
  <sheetFormatPr defaultRowHeight="14.35" x14ac:dyDescent="0.5"/>
  <cols>
    <col min="2" max="2" width="6.87890625" bestFit="1" customWidth="1"/>
    <col min="3" max="3" width="15.41015625" bestFit="1" customWidth="1"/>
    <col min="4" max="4" width="29.8203125" bestFit="1" customWidth="1"/>
    <col min="5" max="5" width="29.5859375" bestFit="1" customWidth="1"/>
    <col min="6" max="6" width="10.87890625" bestFit="1" customWidth="1"/>
    <col min="7" max="7" width="20" bestFit="1" customWidth="1"/>
    <col min="8" max="8" width="14.76171875" bestFit="1" customWidth="1"/>
    <col min="9" max="9" width="38.9375" customWidth="1"/>
    <col min="10" max="10" width="31.29296875" bestFit="1" customWidth="1"/>
    <col min="11" max="11" width="11.87890625" bestFit="1" customWidth="1"/>
    <col min="12" max="15" width="32.17578125" customWidth="1"/>
  </cols>
  <sheetData>
    <row r="2" spans="2:11" x14ac:dyDescent="0.5">
      <c r="B2" s="36" t="s">
        <v>47</v>
      </c>
      <c r="C2" s="36" t="s">
        <v>188</v>
      </c>
      <c r="D2" s="38" t="s">
        <v>439</v>
      </c>
      <c r="E2" s="38" t="s">
        <v>440</v>
      </c>
      <c r="F2" s="37" t="s">
        <v>435</v>
      </c>
      <c r="G2" s="37" t="s">
        <v>441</v>
      </c>
      <c r="H2" s="36" t="s">
        <v>442</v>
      </c>
      <c r="I2" s="7" t="s">
        <v>443</v>
      </c>
      <c r="J2" s="39" t="s">
        <v>444</v>
      </c>
      <c r="K2" s="7" t="s">
        <v>445</v>
      </c>
    </row>
    <row r="3" spans="2:11" ht="57.35" x14ac:dyDescent="0.5">
      <c r="B3" s="6" t="s">
        <v>324</v>
      </c>
      <c r="C3" s="11" t="s">
        <v>341</v>
      </c>
      <c r="D3" s="5" t="s">
        <v>293</v>
      </c>
      <c r="E3" s="5" t="s">
        <v>342</v>
      </c>
      <c r="F3" s="5">
        <v>2022</v>
      </c>
      <c r="G3" s="5" t="s">
        <v>343</v>
      </c>
      <c r="H3" s="2" t="s">
        <v>344</v>
      </c>
      <c r="I3" s="26" t="s">
        <v>466</v>
      </c>
      <c r="J3" s="26" t="s">
        <v>349</v>
      </c>
      <c r="K3" s="5">
        <v>42</v>
      </c>
    </row>
    <row r="4" spans="2:11" ht="71.7" x14ac:dyDescent="0.5">
      <c r="B4" s="6" t="s">
        <v>326</v>
      </c>
      <c r="C4" s="11" t="s">
        <v>341</v>
      </c>
      <c r="D4" s="5" t="s">
        <v>297</v>
      </c>
      <c r="E4" s="5" t="s">
        <v>350</v>
      </c>
      <c r="F4" s="5">
        <v>2011</v>
      </c>
      <c r="G4" s="5" t="s">
        <v>101</v>
      </c>
      <c r="H4" s="2" t="s">
        <v>344</v>
      </c>
      <c r="I4" s="26" t="s">
        <v>467</v>
      </c>
      <c r="J4" s="26" t="s">
        <v>355</v>
      </c>
      <c r="K4" s="5">
        <v>46</v>
      </c>
    </row>
    <row r="5" spans="2:11" ht="57.35" x14ac:dyDescent="0.5">
      <c r="B5" s="6" t="s">
        <v>329</v>
      </c>
      <c r="C5" s="11" t="s">
        <v>356</v>
      </c>
      <c r="D5" s="5" t="s">
        <v>300</v>
      </c>
      <c r="E5" s="5" t="s">
        <v>357</v>
      </c>
      <c r="F5" s="5">
        <v>2010</v>
      </c>
      <c r="G5" s="5" t="s">
        <v>103</v>
      </c>
      <c r="H5" s="2" t="s">
        <v>344</v>
      </c>
      <c r="I5" s="26" t="s">
        <v>468</v>
      </c>
      <c r="J5" s="26" t="s">
        <v>362</v>
      </c>
      <c r="K5" s="5">
        <v>84</v>
      </c>
    </row>
    <row r="6" spans="2:11" ht="57.35" x14ac:dyDescent="0.5">
      <c r="B6" s="6" t="s">
        <v>333</v>
      </c>
      <c r="C6" s="11" t="s">
        <v>341</v>
      </c>
      <c r="D6" s="5" t="s">
        <v>307</v>
      </c>
      <c r="E6" s="5" t="s">
        <v>357</v>
      </c>
      <c r="F6" s="5">
        <v>2008</v>
      </c>
      <c r="G6" s="5" t="s">
        <v>363</v>
      </c>
      <c r="H6" s="2" t="s">
        <v>344</v>
      </c>
      <c r="I6" s="26" t="s">
        <v>469</v>
      </c>
      <c r="J6" s="26" t="s">
        <v>368</v>
      </c>
      <c r="K6" s="5">
        <v>30</v>
      </c>
    </row>
    <row r="7" spans="2:11" ht="57.35" x14ac:dyDescent="0.5">
      <c r="B7" s="6" t="s">
        <v>337</v>
      </c>
      <c r="C7" s="11" t="s">
        <v>341</v>
      </c>
      <c r="D7" s="5" t="s">
        <v>310</v>
      </c>
      <c r="E7" s="5" t="s">
        <v>357</v>
      </c>
      <c r="F7" s="5">
        <v>2008</v>
      </c>
      <c r="G7" s="5" t="s">
        <v>363</v>
      </c>
      <c r="H7" s="2" t="s">
        <v>344</v>
      </c>
      <c r="I7" s="26" t="s">
        <v>470</v>
      </c>
      <c r="J7" s="26" t="s">
        <v>373</v>
      </c>
      <c r="K7" s="5">
        <v>22</v>
      </c>
    </row>
    <row r="8" spans="2:11" ht="57.35" x14ac:dyDescent="0.5">
      <c r="B8" s="6" t="s">
        <v>339</v>
      </c>
      <c r="C8" s="11" t="s">
        <v>39</v>
      </c>
      <c r="D8" s="5" t="s">
        <v>313</v>
      </c>
      <c r="E8" s="5" t="s">
        <v>357</v>
      </c>
      <c r="F8" s="5">
        <v>2008</v>
      </c>
      <c r="G8" s="5" t="s">
        <v>374</v>
      </c>
      <c r="H8" s="2" t="s">
        <v>375</v>
      </c>
      <c r="I8" s="26" t="s">
        <v>471</v>
      </c>
      <c r="J8" s="26" t="s">
        <v>380</v>
      </c>
      <c r="K8" s="34">
        <v>24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5FF0-4EB5-417E-BB5D-7D3DB32E41CC}">
  <dimension ref="B2:L8"/>
  <sheetViews>
    <sheetView tabSelected="1" topLeftCell="F1" workbookViewId="0">
      <selection activeCell="B2" sqref="B2:L8"/>
    </sheetView>
  </sheetViews>
  <sheetFormatPr defaultRowHeight="14.35" x14ac:dyDescent="0.5"/>
  <cols>
    <col min="2" max="2" width="6.87890625" bestFit="1" customWidth="1"/>
    <col min="3" max="4" width="29.9375" customWidth="1"/>
    <col min="5" max="5" width="18.17578125" bestFit="1" customWidth="1"/>
    <col min="6" max="6" width="38.9375" customWidth="1"/>
    <col min="7" max="7" width="37.8203125" bestFit="1" customWidth="1"/>
    <col min="8" max="8" width="38.9375" customWidth="1"/>
    <col min="9" max="9" width="28.05859375" bestFit="1" customWidth="1"/>
    <col min="10" max="10" width="29.5859375" bestFit="1" customWidth="1"/>
    <col min="11" max="11" width="21.05859375" bestFit="1" customWidth="1"/>
    <col min="12" max="12" width="18.703125" bestFit="1" customWidth="1"/>
    <col min="13" max="14" width="90.5859375" customWidth="1"/>
  </cols>
  <sheetData>
    <row r="2" spans="2:12" x14ac:dyDescent="0.5">
      <c r="B2" s="36" t="s">
        <v>47</v>
      </c>
      <c r="C2" s="38" t="s">
        <v>439</v>
      </c>
      <c r="D2" s="38" t="s">
        <v>440</v>
      </c>
      <c r="E2" s="46" t="s">
        <v>435</v>
      </c>
      <c r="F2" s="7" t="s">
        <v>472</v>
      </c>
      <c r="G2" s="7" t="s">
        <v>473</v>
      </c>
      <c r="H2" s="7" t="s">
        <v>474</v>
      </c>
      <c r="I2" s="7" t="s">
        <v>475</v>
      </c>
      <c r="J2" s="39" t="s">
        <v>476</v>
      </c>
      <c r="K2" s="39" t="s">
        <v>444</v>
      </c>
      <c r="L2" s="7" t="s">
        <v>445</v>
      </c>
    </row>
    <row r="3" spans="2:12" ht="71.7" x14ac:dyDescent="0.5">
      <c r="B3" s="6" t="s">
        <v>324</v>
      </c>
      <c r="C3" s="5" t="s">
        <v>293</v>
      </c>
      <c r="D3" s="5" t="s">
        <v>342</v>
      </c>
      <c r="E3" s="47">
        <v>2022</v>
      </c>
      <c r="F3" s="26" t="s">
        <v>345</v>
      </c>
      <c r="G3" s="26" t="s">
        <v>460</v>
      </c>
      <c r="H3" s="26" t="s">
        <v>346</v>
      </c>
      <c r="I3" s="26" t="s">
        <v>347</v>
      </c>
      <c r="J3" s="26" t="s">
        <v>348</v>
      </c>
      <c r="K3" s="26" t="s">
        <v>349</v>
      </c>
      <c r="L3" s="5">
        <v>42</v>
      </c>
    </row>
    <row r="4" spans="2:12" ht="86" x14ac:dyDescent="0.5">
      <c r="B4" s="6" t="s">
        <v>326</v>
      </c>
      <c r="C4" s="5" t="s">
        <v>297</v>
      </c>
      <c r="D4" s="5" t="s">
        <v>350</v>
      </c>
      <c r="E4" s="47">
        <v>2011</v>
      </c>
      <c r="F4" s="26" t="s">
        <v>351</v>
      </c>
      <c r="G4" s="26" t="s">
        <v>461</v>
      </c>
      <c r="H4" s="26" t="s">
        <v>352</v>
      </c>
      <c r="I4" s="26" t="s">
        <v>353</v>
      </c>
      <c r="J4" s="26" t="s">
        <v>354</v>
      </c>
      <c r="K4" s="26" t="s">
        <v>355</v>
      </c>
      <c r="L4" s="5">
        <v>46</v>
      </c>
    </row>
    <row r="5" spans="2:12" ht="71.7" x14ac:dyDescent="0.5">
      <c r="B5" s="6" t="s">
        <v>329</v>
      </c>
      <c r="C5" s="5" t="s">
        <v>300</v>
      </c>
      <c r="D5" s="5" t="s">
        <v>357</v>
      </c>
      <c r="E5" s="47">
        <v>2010</v>
      </c>
      <c r="F5" s="26" t="s">
        <v>358</v>
      </c>
      <c r="G5" s="26" t="s">
        <v>462</v>
      </c>
      <c r="H5" s="26" t="s">
        <v>359</v>
      </c>
      <c r="I5" s="26" t="s">
        <v>360</v>
      </c>
      <c r="J5" s="26" t="s">
        <v>361</v>
      </c>
      <c r="K5" s="26" t="s">
        <v>362</v>
      </c>
      <c r="L5" s="5">
        <v>84</v>
      </c>
    </row>
    <row r="6" spans="2:12" ht="86" x14ac:dyDescent="0.5">
      <c r="B6" s="6" t="s">
        <v>333</v>
      </c>
      <c r="C6" s="5" t="s">
        <v>307</v>
      </c>
      <c r="D6" s="5" t="s">
        <v>357</v>
      </c>
      <c r="E6" s="47">
        <v>2008</v>
      </c>
      <c r="F6" s="26" t="s">
        <v>364</v>
      </c>
      <c r="G6" s="26" t="s">
        <v>463</v>
      </c>
      <c r="H6" s="26" t="s">
        <v>365</v>
      </c>
      <c r="I6" s="26" t="s">
        <v>366</v>
      </c>
      <c r="J6" s="26" t="s">
        <v>367</v>
      </c>
      <c r="K6" s="26" t="s">
        <v>368</v>
      </c>
      <c r="L6" s="5">
        <v>30</v>
      </c>
    </row>
    <row r="7" spans="2:12" ht="86" x14ac:dyDescent="0.5">
      <c r="B7" s="6" t="s">
        <v>337</v>
      </c>
      <c r="C7" s="5" t="s">
        <v>310</v>
      </c>
      <c r="D7" s="5" t="s">
        <v>357</v>
      </c>
      <c r="E7" s="47">
        <v>2008</v>
      </c>
      <c r="F7" s="26" t="s">
        <v>369</v>
      </c>
      <c r="G7" s="26" t="s">
        <v>464</v>
      </c>
      <c r="H7" s="26" t="s">
        <v>370</v>
      </c>
      <c r="I7" s="26" t="s">
        <v>371</v>
      </c>
      <c r="J7" s="26" t="s">
        <v>372</v>
      </c>
      <c r="K7" s="26" t="s">
        <v>373</v>
      </c>
      <c r="L7" s="5">
        <v>22</v>
      </c>
    </row>
    <row r="8" spans="2:12" ht="71.7" x14ac:dyDescent="0.5">
      <c r="B8" s="6" t="s">
        <v>339</v>
      </c>
      <c r="C8" s="5" t="s">
        <v>313</v>
      </c>
      <c r="D8" s="5" t="s">
        <v>357</v>
      </c>
      <c r="E8" s="47">
        <v>2008</v>
      </c>
      <c r="F8" s="26" t="s">
        <v>376</v>
      </c>
      <c r="G8" s="26" t="s">
        <v>465</v>
      </c>
      <c r="H8" s="26" t="s">
        <v>377</v>
      </c>
      <c r="I8" s="26" t="s">
        <v>378</v>
      </c>
      <c r="J8" s="26" t="s">
        <v>379</v>
      </c>
      <c r="K8" s="26" t="s">
        <v>380</v>
      </c>
      <c r="L8" s="34">
        <v>24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01 - Taylor C&amp;C Taxonomy</vt:lpstr>
      <vt:lpstr>Excel2LaTeX</vt:lpstr>
      <vt:lpstr>03A - Tasks</vt:lpstr>
      <vt:lpstr>03B - Decisions</vt:lpstr>
      <vt:lpstr>03C - SLR Data Objects</vt:lpstr>
      <vt:lpstr>03D - Sources</vt:lpstr>
      <vt:lpstr>03E - Search String</vt:lpstr>
      <vt:lpstr>03F - Map Categories</vt:lpstr>
      <vt:lpstr>04A - Query Stats</vt:lpstr>
      <vt:lpstr>04B - Filter Count</vt:lpstr>
      <vt:lpstr>04C - PS QF Score</vt:lpstr>
      <vt:lpstr>04D - PS Profile</vt:lpstr>
      <vt:lpstr>04E - PS Topics</vt:lpstr>
      <vt:lpstr>04F - PS Categories</vt:lpstr>
      <vt:lpstr>04G - PS Summary</vt:lpstr>
      <vt:lpstr>09A - PS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Felipe Arteaga Martin</dc:creator>
  <cp:lastModifiedBy>Santiago Felipe Arteaga Martin</cp:lastModifiedBy>
  <dcterms:created xsi:type="dcterms:W3CDTF">2024-03-11T23:56:43Z</dcterms:created>
  <dcterms:modified xsi:type="dcterms:W3CDTF">2025-07-22T02:52:52Z</dcterms:modified>
</cp:coreProperties>
</file>