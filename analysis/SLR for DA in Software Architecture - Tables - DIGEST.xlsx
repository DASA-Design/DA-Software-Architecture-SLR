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Art-SLR-DA-ArchiSoft/assets/tbl/"/>
    </mc:Choice>
  </mc:AlternateContent>
  <xr:revisionPtr revIDLastSave="1317" documentId="8_{8BC242A2-9D94-4DA7-B94F-E35DE9D1B520}" xr6:coauthVersionLast="47" xr6:coauthVersionMax="47" xr10:uidLastSave="{EF44C5B6-9AA6-47BE-B276-C1D45FCA1AF1}"/>
  <bookViews>
    <workbookView xWindow="-93" yWindow="-93" windowWidth="25786" windowHeight="15466" tabRatio="800" firstSheet="19" activeTab="20" xr2:uid="{D17E6A37-0BDA-4AD0-A677-3ED0B223D7A0}"/>
  </bookViews>
  <sheets>
    <sheet name="01 - Taylor C&amp;C Taxonomy" sheetId="1" r:id="rId1"/>
    <sheet name="Excel2LaTeX" sheetId="3" state="hidden" r:id="rId2"/>
    <sheet name="03A - Tasks" sheetId="4" r:id="rId3"/>
    <sheet name="03B - Decisions" sheetId="5" r:id="rId4"/>
    <sheet name="03C - SLR Data Objects" sheetId="7" r:id="rId5"/>
    <sheet name="03D - Sources" sheetId="6" r:id="rId6"/>
    <sheet name="03E - Search String" sheetId="2" r:id="rId7"/>
    <sheet name="03F - Research Questions" sheetId="22" r:id="rId8"/>
    <sheet name="03G - PICO strategy" sheetId="23" r:id="rId9"/>
    <sheet name="03H - IC &amp; EC" sheetId="24" r:id="rId10"/>
    <sheet name="03I - SD &amp; SMD" sheetId="25" r:id="rId11"/>
    <sheet name="03J - Map Categories" sheetId="14" r:id="rId12"/>
    <sheet name="03K - Quaity Features" sheetId="26" r:id="rId13"/>
    <sheet name="04A - Query Stats" sheetId="10" r:id="rId14"/>
    <sheet name="04B - Filter Count" sheetId="16" r:id="rId15"/>
    <sheet name="04C - PS QF Score" sheetId="15" r:id="rId16"/>
    <sheet name="04D - PS Profile" sheetId="17" r:id="rId17"/>
    <sheet name="04E - PS Topics" sheetId="19" r:id="rId18"/>
    <sheet name="04F - PS Categories" sheetId="20" r:id="rId19"/>
    <sheet name="04G - PS Summary" sheetId="21" r:id="rId20"/>
    <sheet name="06A - Insights" sheetId="27" r:id="rId21"/>
    <sheet name="09A+04H - PS Details" sheetId="1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7" l="1"/>
  <c r="H11" i="17"/>
  <c r="F11" i="17"/>
  <c r="E11" i="17"/>
  <c r="I10" i="17"/>
  <c r="H10" i="17"/>
  <c r="F10" i="17"/>
  <c r="E10" i="17"/>
  <c r="I9" i="17"/>
  <c r="H9" i="17"/>
  <c r="F9" i="17"/>
  <c r="E9" i="17"/>
  <c r="G8" i="17"/>
  <c r="G9" i="17" s="1"/>
  <c r="G7" i="17"/>
  <c r="G6" i="17"/>
  <c r="G5" i="17"/>
  <c r="G10" i="17" s="1"/>
  <c r="G4" i="17"/>
  <c r="G3" i="17"/>
  <c r="G11" i="17" s="1"/>
  <c r="L10" i="15"/>
  <c r="M10" i="15" s="1"/>
  <c r="L9" i="15"/>
  <c r="M9" i="15" s="1"/>
  <c r="L8" i="15"/>
  <c r="M8" i="15" s="1"/>
  <c r="L7" i="15"/>
  <c r="M7" i="15" s="1"/>
  <c r="L6" i="15"/>
  <c r="M6" i="15" s="1"/>
  <c r="L5" i="15"/>
  <c r="M5" i="15" s="1"/>
  <c r="L4" i="15"/>
  <c r="M4" i="15" s="1"/>
  <c r="L3" i="15"/>
  <c r="M3" i="15" s="1"/>
  <c r="D18" i="10"/>
  <c r="C18" i="10"/>
  <c r="D9" i="10"/>
  <c r="C9" i="10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tc={78321BB6-58A9-4466-A568-92480B60BF52}</author>
    <author>tc={0B324706-E827-4EC5-954D-1028E7727263}</author>
    <author>tc={4B081152-02F6-4290-AFEA-9A43E5D189D6}</author>
    <author>tc={271B2DCC-C136-4378-B9BD-F7ADBA970FEA}</author>
    <author>tc={94E0DABD-0A5A-47D4-99D9-BA87E8C315FD}</author>
    <author>tc={C4983806-F9D8-4A7F-A575-B848BE661639}</author>
    <author>tc={C32A48E9-C0FF-41E5-9EB5-603BB9312721}</author>
    <author>tc={D042ABAB-3FBE-4BCD-9F29-53832B6CAA03}</author>
    <author>tc={7411CCED-9C7D-40A1-AA55-71BF3F3BE9C0}</author>
    <author>tc={D9477364-87B5-4BF5-8BC1-BB386A911B93}</author>
    <author>tc={7E3D91D2-C8A9-40EA-9B73-15D216D0356D}</author>
  </authors>
  <commentList>
    <comment ref="C4" authorId="0" shapeId="0" xr:uid="{78321BB6-58A9-4466-A568-92480B60BF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IC-02: Source Availability; Fully available in one of the academic sources (Section 2.2.2). </t>
      </text>
    </comment>
    <comment ref="C5" authorId="1" shapeId="0" xr:uid="{0B324706-E827-4EC5-954D-1028E77272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IC-01: Date Relevance; Published between 2010–2020 (or 2010–2024 for the update). </t>
      </text>
    </comment>
    <comment ref="C6" authorId="2" shapeId="0" xr:uid="{4B081152-02F6-4290-AFEA-9A43E5D189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EC-06: Not Readable; document written in a language other than English or Spanish. </t>
      </text>
    </comment>
    <comment ref="C7" authorId="3" shapeId="0" xr:uid="{271B2DCC-C136-4378-B9BD-F7ADBA970FEA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EC-05: Is Book; document labelled as a book or a book part (e.g.: chapter or section).</t>
      </text>
    </comment>
    <comment ref="C8" authorId="4" shapeId="0" xr:uid="{94E0DABD-0A5A-47D4-99D9-BA87E8C315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IC-03: Document Type; document labelled as article, conference paper, journal, or proceedings. </t>
      </text>
    </comment>
    <comment ref="C9" authorId="5" shapeId="0" xr:uid="{C4983806-F9D8-4A7F-A575-B848BE6616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EC-01: No Title; document does NOT have a title. </t>
      </text>
    </comment>
    <comment ref="C10" authorId="6" shapeId="0" xr:uid="{C32A48E9-C0FF-41E5-9EB5-603BB9312721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EC-02: No Authors; authors NOT listed in the document.</t>
      </text>
    </comment>
    <comment ref="C11" authorId="7" shapeId="0" xr:uid="{D042ABAB-3FBE-4BCD-9F29-53832B6CAA03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EC-03: No DOI; document does NOT have a Digital Object Identifier (DOI ).</t>
      </text>
    </comment>
    <comment ref="C12" authorId="8" shapeId="0" xr:uid="{7411CCED-9C7D-40A1-AA55-71BF3F3BE9C0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EC-04: No Abstract; document does NOT have a summary or abstract.</t>
      </text>
    </comment>
    <comment ref="C13" authorId="9" shapeId="0" xr:uid="{D9477364-87B5-4BF5-8BC1-BB386A911B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IC-04: Title Keywords; Title include words like:“Dimensional Analysis”,“Dimensionless Coefficients”,“Π-Theorem”, “Software”, “Design”, “Tools”, “Development”, or “Architecture”. </t>
      </text>
    </comment>
    <comment ref="C14" authorId="10" shapeId="0" xr:uid="{7E3D91D2-C8A9-40EA-9B73-15D216D035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IC-05: Abstract Keywords; Summary include words like: “Dimensional Analysis”, “Dimensionless Coefficients”, “Π-Theorem”, “Software”, “Design”, “Tools”, “Development”, or “Architecture”. 
Reply:
    E.g.:
=SUMPRODUCT(--ISNUMBER(SEARCH({"apple","banana","cherry"}, B1)))&gt;0 
Explanation:
SEARCH({"apple","banana","cherry"}, B1) checks if each word exists in B1.
ISNUMBER(...) returns TRUE/FALSE for each word.
-- converts TRUE/FALSE to 1/0.
SUMPRODUCT(...) sums the results, and &gt;0 returns TRUE if at least one word is found.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tc={89484925-10FF-4EBD-B159-4F1847893F5F}</author>
    <author>tc={FD072318-235E-4B61-BC50-B6557B7AC5E3}</author>
    <author>tc={E7424919-E3B8-4B69-9711-37D5E03E1CC3}</author>
    <author>tc={3A466795-599F-4CB9-8CB6-4D1A7A3A17D1}</author>
    <author>tc={5C47DB51-AB38-43E6-9258-BEFB4ED7DD3B}</author>
    <author>tc={EAEA9848-50EB-43AC-883C-A31C5C50FF78}</author>
    <author>tc={F222ED87-B4A7-4BF4-B078-2B37C396747F}</author>
    <author>tc={220D3774-1DE3-45C4-861D-4F2F86F1F6E2}</author>
  </authors>
  <commentList>
    <comment ref="F2" authorId="0" shapeId="0" xr:uid="{89484925-10FF-4EBD-B159-4F1847893F5F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QF-01: References key or indexed sources on Dimensional Analysis? (Y /N ).</t>
      </text>
    </comment>
    <comment ref="G2" authorId="1" shapeId="0" xr:uid="{FD072318-235E-4B61-BC50-B6557B7AC5E3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QF-02: Is Dimensional Analysis central to the document? (Y /N /P ).</t>
      </text>
    </comment>
    <comment ref="H2" authorId="2" shapeId="0" xr:uid="{E7424919-E3B8-4B69-9711-37D5E03E1CC3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QF-03: states an objective, research question, or modeling goal on Dimensional Analysis? (Y /N /P ).</t>
      </text>
    </comment>
    <comment ref="I2" authorId="3" shapeId="0" xr:uid="{3A466795-599F-4CB9-8CB6-4D1A7A3A17D1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QF-04: Describes or applies identifiable steps, rules, or computational procedures related to Dimensional Analysis? (Y /N /P ).</t>
      </text>
    </comment>
    <comment ref="J2" authorId="4" shapeId="0" xr:uid="{5C47DB51-AB38-43E6-9258-BEFB4ED7DD3B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QF-05: Provides quantitative evidence, simulation results, or empirical validation to support the application of Dimensional Analysis? (Y /N /P ).</t>
      </text>
    </comment>
    <comment ref="K2" authorId="5" shapeId="0" xr:uid="{EAEA9848-50EB-43AC-883C-A31C5C50FF78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QF-06: Discusses limitations or challenges of applying Dimensional Analysis in the research context? (Y /N /P ).</t>
      </text>
    </comment>
    <comment ref="C6" authorId="6" shapeId="0" xr:uid="{F222ED87-B4A7-4BF4-B078-2B37C396747F}">
      <text>
        <t>[Threaded comment]
Your version of Excel allows you to read this threaded comment; however, any edits to it will get removed if the file is opened in a newer version of Excel. Learn more: https://go.microsoft.com/fwlink/?linkid=870924
Comment:
    Although it introduces a novel analogy using energy and action, it doesn't include clear dimensional analysis procedures or empirical validation tied directly to dimensionless modeling.</t>
      </text>
    </comment>
    <comment ref="C10" authorId="7" shapeId="0" xr:uid="{220D3774-1DE3-45C4-861D-4F2F86F1F6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paper is highly abstract and theoretical, using physics-inspired ideas, but it doesn't apply or validate standard dimensional analysis methods in a concrete or testable way.</t>
      </text>
    </comment>
  </commentList>
</comments>
</file>

<file path=xl/sharedStrings.xml><?xml version="1.0" encoding="utf-8"?>
<sst xmlns="http://schemas.openxmlformats.org/spreadsheetml/2006/main" count="885" uniqueCount="622">
  <si>
    <t>CONNECTOR</t>
  </si>
  <si>
    <t>DEFINITION</t>
  </si>
  <si>
    <t>ROLES</t>
  </si>
  <si>
    <t>EXAMPLES</t>
  </si>
  <si>
    <t>Procedure Call</t>
  </si>
  <si>
    <t>Enables control flow between components with different techniques to invoke</t>
  </si>
  <si>
    <t>Coordinate, communicate, facilitate</t>
  </si>
  <si>
    <t>Object invocation, fork, exec, call-back, RCP</t>
  </si>
  <si>
    <t>Event</t>
  </si>
  <si>
    <t>Enables the flow of control like Procedural Calls, but it starts with the interruption that an object suffers</t>
  </si>
  <si>
    <t>GUI, Mouse, paging, signals, triggers</t>
  </si>
  <si>
    <t>Data Access</t>
  </si>
  <si>
    <t>Enables access to data in some type of repository</t>
  </si>
  <si>
    <t>Communicate, convert</t>
  </si>
  <si>
    <t>SQL, MongoDB</t>
  </si>
  <si>
    <t>Linkage</t>
  </si>
  <si>
    <t>Creates a channel between two components and holds them together during operation</t>
  </si>
  <si>
    <t>Communicate, coordinate, facilitate</t>
  </si>
  <si>
    <t>Dependencies and relationships, Module Interconnection languages (MIL)</t>
  </si>
  <si>
    <t>Stream</t>
  </si>
  <si>
    <t>Enables the transfer of large data volumes between autonomous processes</t>
  </si>
  <si>
    <t>TCP/UDP, Unix Pipes</t>
  </si>
  <si>
    <t>Arbitrator</t>
  </si>
  <si>
    <t>Enables two components to work that know of each other existence but cannot assume the same state</t>
  </si>
  <si>
    <t>Facilitate, coordinate, communicate, convert</t>
  </si>
  <si>
    <t>Monitor, Enterprise Service Bus (ESB), Semaphores</t>
  </si>
  <si>
    <t>Adaptor</t>
  </si>
  <si>
    <t>Enables the operation between components that are not designed to interact</t>
  </si>
  <si>
    <t>Convert, communicate</t>
  </si>
  <si>
    <t>XML, Wrapper, JSON</t>
  </si>
  <si>
    <t>Distributor</t>
  </si>
  <si>
    <t>Identifies the best paths and interactions to communicate components within a network</t>
  </si>
  <si>
    <t>Facilitate, communicate, coordinate, convert</t>
  </si>
  <si>
    <t>DNS</t>
  </si>
  <si>
    <t>ACM</t>
  </si>
  <si>
    <t>Relevance</t>
  </si>
  <si>
    <t>ASME</t>
  </si>
  <si>
    <t>IEEE Xplore</t>
  </si>
  <si>
    <t>ScienceDirect</t>
  </si>
  <si>
    <t>SpringerLink</t>
  </si>
  <si>
    <t>SEARCH STRING</t>
  </si>
  <si>
    <t>PERIOD</t>
  </si>
  <si>
    <t>RangeAddress</t>
  </si>
  <si>
    <t>Options</t>
  </si>
  <si>
    <t>CellWidth</t>
  </si>
  <si>
    <t>Indent</t>
  </si>
  <si>
    <t>FileName</t>
  </si>
  <si>
    <t>ID</t>
  </si>
  <si>
    <t>T-001</t>
  </si>
  <si>
    <t>T-002</t>
  </si>
  <si>
    <t>Specify search strategy</t>
  </si>
  <si>
    <t>T-003</t>
  </si>
  <si>
    <t>Create search string</t>
  </si>
  <si>
    <t>T-004</t>
  </si>
  <si>
    <t>T-005</t>
  </si>
  <si>
    <t>T-006</t>
  </si>
  <si>
    <t>T-007</t>
  </si>
  <si>
    <t>Use search string</t>
  </si>
  <si>
    <t>T-008</t>
  </si>
  <si>
    <t>Collect documents</t>
  </si>
  <si>
    <t>T-009</t>
  </si>
  <si>
    <t>T-010</t>
  </si>
  <si>
    <t>T-011</t>
  </si>
  <si>
    <t>T-012</t>
  </si>
  <si>
    <t>T-013</t>
  </si>
  <si>
    <t>T-014</t>
  </si>
  <si>
    <t>T-015</t>
  </si>
  <si>
    <t>T-016</t>
  </si>
  <si>
    <t>T-017</t>
  </si>
  <si>
    <t>Deliver report</t>
  </si>
  <si>
    <t>Define research questions</t>
  </si>
  <si>
    <t>C-01</t>
  </si>
  <si>
    <t>C-02</t>
  </si>
  <si>
    <t>C-03</t>
  </si>
  <si>
    <t>O-01</t>
  </si>
  <si>
    <t>O-02</t>
  </si>
  <si>
    <t>O-03</t>
  </si>
  <si>
    <t>O-04</t>
  </si>
  <si>
    <t>O-05</t>
  </si>
  <si>
    <t>O-06</t>
  </si>
  <si>
    <t>O-07</t>
  </si>
  <si>
    <t>O-08</t>
  </si>
  <si>
    <t>O-09</t>
  </si>
  <si>
    <t>Insights</t>
  </si>
  <si>
    <t>O-10</t>
  </si>
  <si>
    <t>O-11</t>
  </si>
  <si>
    <t>O-12</t>
  </si>
  <si>
    <t>DS-01</t>
  </si>
  <si>
    <t>Scientific Archives</t>
  </si>
  <si>
    <t>DS-02</t>
  </si>
  <si>
    <t>Reference Management Systems</t>
  </si>
  <si>
    <t>DS-03</t>
  </si>
  <si>
    <t>Analysis Tools</t>
  </si>
  <si>
    <t>T-018</t>
  </si>
  <si>
    <t>Update protocol</t>
  </si>
  <si>
    <t>T-019</t>
  </si>
  <si>
    <t>Summarize findings</t>
  </si>
  <si>
    <t>Review protocol quality</t>
  </si>
  <si>
    <t>Parallel Computing</t>
  </si>
  <si>
    <t>Self-similarity of parallel machines</t>
  </si>
  <si>
    <t>Computer Science - Research and Development</t>
  </si>
  <si>
    <t>Computer performance analysis and the Pi Theorem</t>
  </si>
  <si>
    <t>Title</t>
  </si>
  <si>
    <t>Voyant Title</t>
  </si>
  <si>
    <t>Document Title</t>
  </si>
  <si>
    <t>Readability Index</t>
  </si>
  <si>
    <t>Average</t>
  </si>
  <si>
    <t>Min</t>
  </si>
  <si>
    <t>Max</t>
  </si>
  <si>
    <t>YES</t>
  </si>
  <si>
    <t>CAT-01</t>
  </si>
  <si>
    <t>Topics</t>
  </si>
  <si>
    <t>CAT-02</t>
  </si>
  <si>
    <t>Methods</t>
  </si>
  <si>
    <t>CAT-03</t>
  </si>
  <si>
    <t>Tools</t>
  </si>
  <si>
    <t>CAT-04</t>
  </si>
  <si>
    <t>Outcomes</t>
  </si>
  <si>
    <t>03A - PS Summary (2).tex</t>
  </si>
  <si>
    <t>2010-2020 and 
2010-2024</t>
  </si>
  <si>
    <t>"performance analysis" AND ("pi theorem" OR "dimensional analysis") AND software AND (architecture OR develop)</t>
  </si>
  <si>
    <t>("Full Text &amp; Metadata":"performance analysis") AND ("Full Text &amp; Metadata":"pi theorem" OR "Full Text &amp; Metadata":"dimensional analysis") AND ("Full Text &amp; Metadata":software) AND ("Full Text &amp; Metadata":architecture OR "Full Text &amp; Metadata":develop)</t>
  </si>
  <si>
    <t>("performance analysis") AND ("pi theorem" OR "dimensional analysis") AND "software" AND ("architecture" OR "develop")</t>
  </si>
  <si>
    <t>Update SLR</t>
  </si>
  <si>
    <t>Synthetize document data</t>
  </si>
  <si>
    <t>Update search string and strategy</t>
  </si>
  <si>
    <t>Perform snowballing references</t>
  </si>
  <si>
    <t>To postulate the research questions based on the preliminary search string.</t>
  </si>
  <si>
    <t>To refine the search string and strategy if necessary.</t>
  </si>
  <si>
    <t>To define the search strategy, including sources, time periods, and document types.</t>
  </si>
  <si>
    <t>To create the search string using the PICO strategy.</t>
  </si>
  <si>
    <t>To execute the search string in academic databases.</t>
  </si>
  <si>
    <t>To classify and map documents using the keyword scheme.</t>
  </si>
  <si>
    <t>NAME</t>
  </si>
  <si>
    <t>DESCRIPTION</t>
  </si>
  <si>
    <t>Protocol meets quality controls?</t>
  </si>
  <si>
    <t>Primary Studies</t>
  </si>
  <si>
    <t>Research Question</t>
  </si>
  <si>
    <t>Data Sources &amp; Strategy</t>
  </si>
  <si>
    <t>Search String</t>
  </si>
  <si>
    <t>Inclusion/Exclusion Criteria</t>
  </si>
  <si>
    <t>Checklist of inclusion and exclusion criteria.</t>
  </si>
  <si>
    <t>Approved Protocol</t>
  </si>
  <si>
    <t>Complete and reviewed SLR protocol.</t>
  </si>
  <si>
    <t>Found Documents</t>
  </si>
  <si>
    <t>Documents found using search string, strategy, and sources.</t>
  </si>
  <si>
    <t>Tabulated Data</t>
  </si>
  <si>
    <t>Systematic Map</t>
  </si>
  <si>
    <t>Processed data and statistics from primary documents.</t>
  </si>
  <si>
    <t>Data and metadata charts from primary documents.</t>
  </si>
  <si>
    <t>Primary documents after applying criteria.</t>
  </si>
  <si>
    <t>CATEGORY</t>
  </si>
  <si>
    <t xml:space="preserve"> SOURCE</t>
  </si>
  <si>
    <t>SORT BY</t>
  </si>
  <si>
    <t>SOURCE</t>
  </si>
  <si>
    <t>TALLY</t>
  </si>
  <si>
    <t>2024 (46)
2023 (29)
2022 (11)
2021 (4)
2020 (2)</t>
  </si>
  <si>
    <t>Research Article (43)
Review Article (3)</t>
  </si>
  <si>
    <t>Ad Hoc Networks (2)
Applied Soft Computing (2)
Computers and Electrical Engineering (2)
Future Generation Computer Systems (2)
Neural Computing and Applications (2)</t>
  </si>
  <si>
    <t>2024 (2)
2023 (3)
2022 (6)
2021 (6)
2020 (4)</t>
  </si>
  <si>
    <t>Research-Article (20)
Research Papers (12)
Design Innovation Paper (2)
Review Articles (2)
Technical Briefs (2)</t>
  </si>
  <si>
    <t>Research Papers (15)
Alternative Energy Sources (3)
Design Innovation Paper (2)
Energy Systems Analysis (2)
Fluid-Structure Interaction (2)</t>
  </si>
  <si>
    <t>2024 (11)
2023 (19)
2022 (12)
2021 (13)
2020 (2)</t>
  </si>
  <si>
    <t>Article (73)
Research article (57)
Chapter (27)
Conference paper (11)
Review article (11)</t>
  </si>
  <si>
    <t>Engineering fluid dynamics (12)
Computational fluid dynamics (9)
Energy management (8)
Thermal process engineering (8)
Building information modelling (7)</t>
  </si>
  <si>
    <t>2020 (2)
2019 (3)
2018 (2)
2017 (4)
2016 (6)</t>
  </si>
  <si>
    <t xml:space="preserve">    Research Article (15)
    Review Article (1) </t>
  </si>
  <si>
    <t xml:space="preserve">Applied Soft Computing (2)
Neural Computing and Applications (2)
Structural and Multidisciplinary Optimization (2)
Computer Methods and Programs in Biomedicine (1)
Computers and Electrical Engineering (1) </t>
  </si>
  <si>
    <t>2020 (4)
2019 (3)
2018 (7)
2017 (0)
2016 (2)</t>
  </si>
  <si>
    <t xml:space="preserve">Research-Article (15)
Research Papers (3)
Design Innovation Paper (1)
Review Articles (1)
Special Issue On Nanomanufacturing (1) </t>
  </si>
  <si>
    <t>Research Papers (7)
Alternative Energy Sources (2)
Gas Turbines: Combustion, Fuels, and Emissions (2)
CFD and VIV (1)
Design Innovation Paper (1)</t>
  </si>
  <si>
    <t>2020 (2)
2019 (7)
2018 (3)
2017 (2)
2016 (9)</t>
  </si>
  <si>
    <t>Article (28)
Research article (23)
Chapter (17)
Conference paper (8)
Review article (3)</t>
  </si>
  <si>
    <t>Energy management (6)
Engineering fluid dynamics (6)
Building information modelling (5)
Computational fluid dynamics (5)
Solid mechanics (4)</t>
  </si>
  <si>
    <t>[All: "performance analysis"] AND [[All: "pi theorem"] OR [All: "dimensional analysis"]] AND [[All: software architecture] OR [All: software develop]]</t>
  </si>
  <si>
    <t>"performance" AND "dimensional analysis" AND "pi theorem" AND "software" AND ("architecture" OR develop)</t>
  </si>
  <si>
    <t>2010 - 2024</t>
  </si>
  <si>
    <t>2024 (12)
2023 (4)
2022 (4)
2021 (0)
2020 (3)</t>
  </si>
  <si>
    <t xml:space="preserve"> Conferences (19)
Journals (10)
Books (1) </t>
  </si>
  <si>
    <t>Internet Of Things (3)
Machine Learning( 3)
Support Vector Machine (3)
Anomaly Detection (2)
Center For Control (2)</t>
  </si>
  <si>
    <t>2024 (72)
2023 (43)
2022 (50)
2021 (52)
2020 (33)</t>
  </si>
  <si>
    <t>Review articles (19)
Research articles (337)
Short communications (1)</t>
  </si>
  <si>
    <t>Engineering (230)
Chemical Engineering (92)
Energy (86)
Earth and Planetary Sciences (52)
Environmental Science (46)</t>
  </si>
  <si>
    <t>SUM</t>
  </si>
  <si>
    <t>2010 - 2020</t>
  </si>
  <si>
    <t>2020 (3)
2019 (0)
2018 (5)
2017 (1)
2016 (0)</t>
  </si>
  <si>
    <t>Journals (5)
Conferences (4)
Books (1)</t>
  </si>
  <si>
    <t>Anomaly Detection (2)
Center For Control (2)
Control Plane (2)
Defense System (2)
Denial Of Service (2)</t>
  </si>
  <si>
    <t>2020 (33)
2019 (17)
2018 (20)
2017 (14)
2016 (11)</t>
  </si>
  <si>
    <t>Review articles (7)
Research articles (133)</t>
  </si>
  <si>
    <t>Engineering (80)
Chemical Engineering (50)
Energy (40)
Earth and Planetary Sciences (20)
Materials Science (17)</t>
  </si>
  <si>
    <t>FLT-001</t>
  </si>
  <si>
    <r>
      <t xml:space="preserve">To execute the initial </t>
    </r>
    <r>
      <rPr>
        <i/>
        <sz val="11"/>
        <color theme="1"/>
        <rFont val="Aptos Narrow"/>
        <family val="2"/>
        <scheme val="minor"/>
      </rPr>
      <t>Query String</t>
    </r>
    <r>
      <rPr>
        <sz val="11"/>
        <color theme="1"/>
        <rFont val="Aptos Narrow"/>
        <family val="2"/>
        <scheme val="minor"/>
      </rPr>
      <t>.</t>
    </r>
  </si>
  <si>
    <t>Due to filtering the first set of results.</t>
  </si>
  <si>
    <t>FLT-002</t>
  </si>
  <si>
    <t>IC-01</t>
  </si>
  <si>
    <t>Due to focusing on recent work.</t>
  </si>
  <si>
    <t>FLT-003</t>
  </si>
  <si>
    <t>IC-02</t>
  </si>
  <si>
    <t>To include documents with complete access to the file.</t>
  </si>
  <si>
    <t>Due to requiring full document access.</t>
  </si>
  <si>
    <t>FLT-004</t>
  </si>
  <si>
    <t>EC-06</t>
  </si>
  <si>
    <t>To exclude documents in languages other than English or Spanish.</t>
  </si>
  <si>
    <t>Due to limited capabilities.</t>
  </si>
  <si>
    <t>FLT-005</t>
  </si>
  <si>
    <t>EC-05</t>
  </si>
  <si>
    <t>To exclude complete books, eBooks, or short reports.</t>
  </si>
  <si>
    <t>Due to narrowing the document type.</t>
  </si>
  <si>
    <t>FLT-006</t>
  </si>
  <si>
    <t>IC-03</t>
  </si>
  <si>
    <t>To include documents from research, reviews, conferences or journals.</t>
  </si>
  <si>
    <t>FLT-007</t>
  </si>
  <si>
    <t>EC-01</t>
  </si>
  <si>
    <t>To exclude documents without a title.</t>
  </si>
  <si>
    <t>Due to needing clear attribution.</t>
  </si>
  <si>
    <t>FLT-008</t>
  </si>
  <si>
    <t>EC-02</t>
  </si>
  <si>
    <t>To exclude documents without authors.</t>
  </si>
  <si>
    <t>FLT-009</t>
  </si>
  <si>
    <t>EC-03</t>
  </si>
  <si>
    <t>To exclude documents without complete publisher data (DOI or venue).</t>
  </si>
  <si>
    <t>Due to verifying publisher reliability.</t>
  </si>
  <si>
    <t>FLT-010</t>
  </si>
  <si>
    <t>EC-04</t>
  </si>
  <si>
    <t>To exclude documents without an abstract</t>
  </si>
  <si>
    <t>FLT-011</t>
  </si>
  <si>
    <t>IC-04</t>
  </si>
  <si>
    <t>To include documents with "dimension*", "number*", "analysis", "pi*", or "theorem" in their title.</t>
  </si>
  <si>
    <t>Due to matching core keywords.</t>
  </si>
  <si>
    <t>FLT-012</t>
  </si>
  <si>
    <t>IC-05</t>
  </si>
  <si>
    <t>To include documents with "dimension*", "number*", "analysis", "pi*", or "theorem" in their abstract.</t>
  </si>
  <si>
    <t>Due to checking thematic fit.</t>
  </si>
  <si>
    <t>FLT-013</t>
  </si>
  <si>
    <t>To include unique documents.</t>
  </si>
  <si>
    <t>FLT-014</t>
  </si>
  <si>
    <t>To confirm the document’s field from title, abstract, or tags</t>
  </si>
  <si>
    <t>Due to ensuring topic relevance.</t>
  </si>
  <si>
    <t>FLT-015</t>
  </si>
  <si>
    <t>To close read the entire document.</t>
  </si>
  <si>
    <t>FLT-016</t>
  </si>
  <si>
    <t>SD-10</t>
  </si>
  <si>
    <t>To examine the document and its bibliography for new links</t>
  </si>
  <si>
    <t>Due to discovering more relevant documents.</t>
  </si>
  <si>
    <t>FLT-017</t>
  </si>
  <si>
    <t>QF-01 ~ QF-06</t>
  </si>
  <si>
    <t>To qualify the document content</t>
  </si>
  <si>
    <t>Due to ensuring the document evidence</t>
  </si>
  <si>
    <t>N.A.</t>
  </si>
  <si>
    <t>To Include documents between 2010 and 2020 (2024 for the update).</t>
  </si>
  <si>
    <t>Key</t>
  </si>
  <si>
    <t>QF-01</t>
  </si>
  <si>
    <t>QF-02</t>
  </si>
  <si>
    <t>QF-03</t>
  </si>
  <si>
    <t>QF-04</t>
  </si>
  <si>
    <t>QF-05</t>
  </si>
  <si>
    <t>QF-06</t>
  </si>
  <si>
    <t>RD-01</t>
  </si>
  <si>
    <t>Implementation of Buckingham's Pi Theorem Using Python</t>
  </si>
  <si>
    <t>MYTEGS2T</t>
  </si>
  <si>
    <t>PARTIALLY</t>
  </si>
  <si>
    <t>RD-02</t>
  </si>
  <si>
    <t>Self-Similarity of Parallel Machines</t>
  </si>
  <si>
    <t>KJWNN35S</t>
  </si>
  <si>
    <t>RD-03</t>
  </si>
  <si>
    <t>Computer Performance Analysis and the Pi Theorem</t>
  </si>
  <si>
    <t>ZZUL6R72</t>
  </si>
  <si>
    <t>RD-04</t>
  </si>
  <si>
    <t>The Computational Energy Spectrum of a Program as It Executes</t>
  </si>
  <si>
    <t>3IFNFBS7</t>
  </si>
  <si>
    <t>NO</t>
  </si>
  <si>
    <t>RD-05</t>
  </si>
  <si>
    <t>Computational Forces in the SAGE Benchmark</t>
  </si>
  <si>
    <t>AC5DH5AY</t>
  </si>
  <si>
    <t>RD-06</t>
  </si>
  <si>
    <t>Computational Forces in the Linpack Benchmark</t>
  </si>
  <si>
    <t>UMFDQ7P5</t>
  </si>
  <si>
    <t>RD-07</t>
  </si>
  <si>
    <t>Dimensional Analysis Applied to a Parallel QR Algorithm</t>
  </si>
  <si>
    <t>X59BM33R</t>
  </si>
  <si>
    <t>RD-08</t>
  </si>
  <si>
    <t>A Metric Space for Computer Programs and the Principle of Computational Least Action</t>
  </si>
  <si>
    <t>55RR4PSV</t>
  </si>
  <si>
    <t>Words</t>
  </si>
  <si>
    <t>Types</t>
  </si>
  <si>
    <t>Ratio</t>
  </si>
  <si>
    <t>Words/Sentence</t>
  </si>
  <si>
    <t>Comment</t>
  </si>
  <si>
    <t>Implementation of Buckingham's Pi theorem using Python</t>
  </si>
  <si>
    <t>PS-01</t>
  </si>
  <si>
    <t>Highest readability score, distinctive use of Python and mathematical symbols (π, ρ)</t>
  </si>
  <si>
    <t>PS-02</t>
  </si>
  <si>
    <t>Notable for parallel computing terms and unique coefficient analysis</t>
  </si>
  <si>
    <t>PS-03 - Numrich - 2014</t>
  </si>
  <si>
    <t>PS-03</t>
  </si>
  <si>
    <t>Longest document, extensive use of cache analysis terms</t>
  </si>
  <si>
    <t>PS-04 - Numrich - 2009</t>
  </si>
  <si>
    <t>Computational forces in the SAGE benchmark</t>
  </si>
  <si>
    <t>PS-04</t>
  </si>
  <si>
    <t>Focus on computational forces with unique mathematical notation</t>
  </si>
  <si>
    <t>doi:10.1016/j.jpdc.2008.02.008</t>
  </si>
  <si>
    <t>Computational forces in the Linpack benchmark</t>
  </si>
  <si>
    <t>PS-05</t>
  </si>
  <si>
    <t>Shortest document but highest vocabulary diversity</t>
  </si>
  <si>
    <t>PS-06</t>
  </si>
  <si>
    <t>Focus on dimensional analysis with QR-specific terminology</t>
  </si>
  <si>
    <t>Science Direct</t>
  </si>
  <si>
    <t>Dumka, Pankaj; Chauhan, Rishika; Singh, Ayush; Singh, Gaurav; Mishra, Dhananjay</t>
  </si>
  <si>
    <t>Advances in Engineering Software</t>
  </si>
  <si>
    <t>Journal Article</t>
  </si>
  <si>
    <t>• Implements symbolic and numerical computation of dimensionless groups using Buckingham’s Pi Theorem. ✅</t>
  </si>
  <si>
    <t>• Automatically generates valid π-groups. ✅
• Reproduces known physical dimensionless numbers. ✅</t>
  </si>
  <si>
    <t>• Limited to M, L, and T fundamental dimensions. ✅
• Not yet generalized to broader other physics dimensions (e.g.: electric current [A]). ✅</t>
  </si>
  <si>
    <t>• To extend to additional base dimensions (e.g., temperature, electric current). 🟡
• To distribute it as an educational or research tool. 🟡</t>
  </si>
  <si>
    <t>• Automated dimensional analysis. ✅
• Symbolic π-group computation. ✅</t>
  </si>
  <si>
    <t>Numrich, Robert W.; Heroux, Michael A.</t>
  </si>
  <si>
    <t>• Uses dimensional analysis and mixing coefficients to compare machines. 🟡
• Decomposes CG solver runtime into core components. 🟡</t>
  </si>
  <si>
    <t>• Identifies machine equivalence via the mixing coefficient. ✅
• Validates performance self-similarity. ✅</t>
  </si>
  <si>
    <t>• Based on a single algorithm (CG solver). 🟡
• Limited to specific decomposition model. 🟡</t>
  </si>
  <si>
    <t>• To generalize to other solvers and system types. 🟡
• To apply mixing coefficient as a classification tool. 🟡</t>
  </si>
  <si>
    <t>• Mixing coefficient. ✅
• Machine equivalence classes. ✅
• Dimensionless runtime analysis. 🟡</t>
  </si>
  <si>
    <t>ACM Digital Library</t>
  </si>
  <si>
    <t>Numrich, Robert W.</t>
  </si>
  <si>
    <t>• Applies the Pi Theorem to performance metrics like latency, cache, and parallelism. ✅
• Develops dimensionless relationships using dimensional matrices. ✅</t>
  </si>
  <si>
    <t>• Shows many performance issues can be unified through dimensionless ratios. ✅
• Enables system comparison through self-similarity. ✅</t>
  </si>
  <si>
    <t>• Requires detailed knowledge of system parameters. 🟡
• Assumes scalable execution behaviour. 🟡</t>
  </si>
  <si>
    <t>• Automate parameter discovery. 🟡
• Extend to irregular and hybrid workload patterns. 🟡</t>
  </si>
  <si>
    <t>• Pi groups. ✅
• Dimensionless modelling. ✅
• Performance self-similarity. ✅</t>
  </si>
  <si>
    <t>Journal of Parallel and Distributed Computing</t>
  </si>
  <si>
    <t>• Uses dimensional analysis to reduce the SAGE runtime model. 🟡
• Defines software and hardware force ratios to build a performance surface. 🟡</t>
  </si>
  <si>
    <t>• Produces a universal efficiency surface across machines. ✅
• Classifies machines into equivalence classes via force ratios. ✅</t>
  </si>
  <si>
    <t>• Focused on weak scaling. 🟡
• Depends on machine-specific force definitions. 🟡</t>
  </si>
  <si>
    <t>• Extend to strong and hybrid scaling models. 🟡
• Improve path tracking across surfaces. 🟡</t>
  </si>
  <si>
    <t>• Computational forces. ✅
• Self-similarity surfaces. ✅
• Machine equivalence. ✅</t>
  </si>
  <si>
    <t>• Applies Pi Theorem to simplify a 10-parameter runtime model. 🟡
• Defines four computational forces (2 software, 2 hardware). ✅</t>
  </si>
  <si>
    <t>• Defines a 2D efficiency surface. ✅
• Enables force-based performance comparisons across systems. ✅</t>
  </si>
  <si>
    <t>• Benchmark-specific assumptions. 🟡
• Requires accurate modelling of parameters like α, β, γ. 🟡</t>
  </si>
  <si>
    <t>• Extend to other numerical benchmarks. 🟡
• Use geometric distance on the surface as a comparative metric. 🟡</t>
  </si>
  <si>
    <t>• Computational forces. ✅
• Efficiency surfaces. ✅
• Force-based performance modelling. 🟡</t>
  </si>
  <si>
    <t>Parallel Processing and Applied Mathematics</t>
  </si>
  <si>
    <t>Conference Paper</t>
  </si>
  <si>
    <t>• Uses dimensional matrix methods to model parallel QR runtime behaviour. ✅
• Analyses execution as a composition of compute and communication costs. 🟡</t>
  </si>
  <si>
    <t>• Builds a 3D efficiency surface for QR. ✅
• Enables comparison of performance across machines. ✅</t>
  </si>
  <si>
    <t>• Assumes idealized execution. 🟡
• Specific to dense QR factorization. 🟡</t>
  </si>
  <si>
    <t>• Apply to other linear algebra algorithms. 🟡
• Integrate with autotuning frameworks. 🟡</t>
  </si>
  <si>
    <t>• Dimensional matrix. ✅
• 3D efficiency surface. ✅
• Cross-platform comparison. 🟡</t>
  </si>
  <si>
    <t>Voyant Name</t>
  </si>
  <si>
    <t>DIMTHEO</t>
  </si>
  <si>
    <t>FORQUAN</t>
  </si>
  <si>
    <t>HWARCH</t>
  </si>
  <si>
    <t>COMPEFF</t>
  </si>
  <si>
    <t>PROCMOD</t>
  </si>
  <si>
    <t>Dimensional Analysis Python tool</t>
  </si>
  <si>
    <t>TOP-01</t>
  </si>
  <si>
    <t>dimensional, theorem, variables, array, physical, terms, pi, primary, problems, π</t>
  </si>
  <si>
    <t>Dimensional Analysis &amp; Theorems</t>
  </si>
  <si>
    <t>DIMTHEO - Dimensional Theory &amp; Mathematical Foundations</t>
  </si>
  <si>
    <t>Computational &amp; Processor Analysis between clusters</t>
  </si>
  <si>
    <t>TOP-02</t>
  </si>
  <si>
    <t>formula, forces, dimensional, quantities, surface, different, γ, work, bandwidth, power</t>
  </si>
  <si>
    <t>Forces &amp; Quantities</t>
  </si>
  <si>
    <t>FORQUAN - Forces &amp; Quantitative Measurements</t>
  </si>
  <si>
    <t>Dimensional Analysis &amp; Computational performance/efficiency</t>
  </si>
  <si>
    <t>TOP-03</t>
  </si>
  <si>
    <t>length, unit, force, hardware, byte, machines, dimensions, software, machine, quantity</t>
  </si>
  <si>
    <t>Hardware &amp; Machine Characteristics</t>
  </si>
  <si>
    <t>HWARCH - Hardware Architecture &amp; System Components</t>
  </si>
  <si>
    <t>Processor Models &amp; Forces in SAGE benchmark</t>
  </si>
  <si>
    <t>TOP-04</t>
  </si>
  <si>
    <t>analysis, parameters, computational, algorithm, matrix, processors, self, efficiency, units, paper</t>
  </si>
  <si>
    <t>Computational Analysis &amp; Efficiency</t>
  </si>
  <si>
    <t>COMPEFF - Computational Efficiency Analysis</t>
  </si>
  <si>
    <t>Analysis &amp; Forces in Linpack benchmark</t>
  </si>
  <si>
    <t>TOP-05</t>
  </si>
  <si>
    <t>processor, function, similar, communication, model, fraction, count, bc, cells, effects</t>
  </si>
  <si>
    <t>Processor Communication &amp; Models</t>
  </si>
  <si>
    <t>PROCMOD - Processor Models &amp; Communication Patterns</t>
  </si>
  <si>
    <t>Hardware &amp; Machines models using Dimensional Analysis</t>
  </si>
  <si>
    <t>CAT-01, CAT-02, CAT-03</t>
  </si>
  <si>
    <t>CAT-01, CAT-04</t>
  </si>
  <si>
    <t>CAT-01, CAT-02, CAT-04</t>
  </si>
  <si>
    <t>CAT-02, CAT-03, CAT-04</t>
  </si>
  <si>
    <t>AVAIL</t>
  </si>
  <si>
    <t>PUB/YR.</t>
  </si>
  <si>
    <t>PUB TOPICS</t>
  </si>
  <si>
    <t>DOC TYPES</t>
  </si>
  <si>
    <t xml:space="preserve"> Classify documents</t>
  </si>
  <si>
    <t>Springer Link</t>
  </si>
  <si>
    <t>RELEVANT FEATURE</t>
  </si>
  <si>
    <t>TASK</t>
  </si>
  <si>
    <t>RATIONALE</t>
  </si>
  <si>
    <t>CNT @2024</t>
  </si>
  <si>
    <t>CNT @2020</t>
  </si>
  <si>
    <t>SD-01,
SD-04,
SMD-05, 
and SMD-02</t>
  </si>
  <si>
    <t>SD-01,
SD-02, 
and SD-03</t>
  </si>
  <si>
    <t>SD-01 ~ SD-10
 plus SMD-01 ~ SMD-06</t>
  </si>
  <si>
    <t>PUB YR</t>
  </si>
  <si>
    <t>RELV. DOC ID</t>
  </si>
  <si>
    <t>SC</t>
  </si>
  <si>
    <t>SELECT?</t>
  </si>
  <si>
    <t>TITLE</t>
  </si>
  <si>
    <t>AUTHOR</t>
  </si>
  <si>
    <t>VENUE</t>
  </si>
  <si>
    <t>TYPE</t>
  </si>
  <si>
    <t>SUMMARY</t>
  </si>
  <si>
    <t>KEY CONCEPTS</t>
  </si>
  <si>
    <t>REF CNT</t>
  </si>
  <si>
    <t>• Topics: Dimensional analysis and Pi theorem (74.95% topic focus, highest dimensional* frequency 0.0112)
• Methods: Implementation methodology using Python
• Tools: Python as primary implementation tool, focus on programming (key terms: python)</t>
  </si>
  <si>
    <t>• Topics: Dimensional analysis in parallel computing
• Methods: QR Algorithm application
• Tools: Focus on hardware/machines (42.86% hardware focus)</t>
  </si>
  <si>
    <t>• Topics: Parallel computing and machine similarity (highest machine* frequency 0.0097)
• Outcomes: Focus on analytical results (36.38% computational analysis, 36.29% processor analysis)</t>
  </si>
  <si>
    <t>• Topics: Performance analysis and Pi Theorem (32.86% dimensional theory)
• Methods: Analytical approaches (highest analysis frequency 0.0044)
• Outcomes: Mixed focus on computational results (28.95%)</t>
  </si>
  <si>
    <t>• Methods: Computational analysis methods
• Tools: SAGE benchmark system
• Outcomes: Focus on forces and processor models (42.57% processor models)</t>
  </si>
  <si>
    <t>• Methods: Computational force analysis
• Tools: Linpack benchmark system
• Outcomes: Mixed focus on analysis (37.71%) and forces (32.19%)</t>
  </si>
  <si>
    <t>TOPIC</t>
  </si>
  <si>
    <t>KEY TERMS</t>
  </si>
  <si>
    <t>SUGGESTED LABEL</t>
  </si>
  <si>
    <t>LABEL</t>
  </si>
  <si>
    <t>MAIN SUBJECT</t>
  </si>
  <si>
    <t>PRIMARY FOCUS</t>
  </si>
  <si>
    <t>DOC ID</t>
  </si>
  <si>
    <t>CATEGORIES</t>
  </si>
  <si>
    <t>• Python (SymPy, NumPy). ✅
• Jupyter Notebooks. ✅
• Classical five fluid mechanics examples (e.g., Reynolds number). ✅</t>
  </si>
  <si>
    <t>• Dimensional ratios. 🟡
• Data from SGI Altix XE1300 and IBM Blade Cluster. ✅
• Execution time tak breakdown (compute, memory, and communication). ✅
• Parallel Conjugate Gradient (CG) solver. ✅</t>
  </si>
  <si>
    <t>• Dimensional matrix construction. ✅
• Pi-group formulation. ✅
• Performance modelling. 🟡
• General system performance models (latency, cache behaviour, parallelism). ✅</t>
  </si>
  <si>
    <t>• Dimensional matrices. 🟡
• Curvilinear coordinates. 🟡
• Analytical expressions for weak scaling. 🟡
• SAGE benchmark (SAIC’s multidimensional hydrodynamics code with adaptive mesh refinement). 🟡</t>
  </si>
  <si>
    <t>• Dimensional reduction. ✅
• Force ratios. 🟡
• Benchmark data from ASCI Red, Cray XT3, and IBM Blue Gene/L. ✅
• Linpack benchmark (dense matrix factorization). ✅</t>
  </si>
  <si>
    <t>• Analytical decomposition of runtime model. ✅
• Dimensional algebra techniques. ✅
• Parallel QR factorization routines. ✅</t>
  </si>
  <si>
    <t>Presents a Python-based method to automatically compute dimensionless pi-groups from physical variables using Buckingham’s Pi theorem.</t>
  </si>
  <si>
    <t>Introduces the mixing coefficient to classify parallel machines by decomposing Conjugate Gradient (CG) solver runtime into compute, memory, and communication components for dimensionless comparison.</t>
  </si>
  <si>
    <t>Applies the Pi Theorem to computer performance problems to reveal dimensionless relationships that unify latency, bandwidth, cache behaviour, and parallel efficiency.</t>
  </si>
  <si>
    <t>Uses dimensional analysis to reduce the SAGE benchmark’s runtime model to a universal efficiency surface shaped by hardware and software force ratios.</t>
  </si>
  <si>
    <t>Applies the Pi Theorem to simplify Linpack’s runtime model and define four computational forces that shape a self-similarity surface for analysing performance.</t>
  </si>
  <si>
    <t>Uses Dimensional analysis to build a 3D efficiency surface from a parallel QR runtime model, enabling cross-platform performance comparisons.</t>
  </si>
  <si>
    <t>METHODS</t>
  </si>
  <si>
    <t>TOOLS</t>
  </si>
  <si>
    <t>RESULTS</t>
  </si>
  <si>
    <t>LIMITATIONS</t>
  </si>
  <si>
    <t>FUTURE DIRECTIONS</t>
  </si>
  <si>
    <t>Define inclusion/exclusion criteria</t>
  </si>
  <si>
    <t>Apply inclusion/exclusion criteria</t>
  </si>
  <si>
    <t>Extract data and metadata</t>
  </si>
  <si>
    <t>Create document category map</t>
  </si>
  <si>
    <t>Review report quality</t>
  </si>
  <si>
    <t>To deliver the final SLR report with diagrams and findings.</t>
  </si>
  <si>
    <t>To update the SLR report if necessary.</t>
  </si>
  <si>
    <t>To assess the SLR report quality using control instruments.</t>
  </si>
  <si>
    <t>To summarize insights (contributions, trends, patterns, and knowledge gaps).</t>
  </si>
  <si>
    <t>To create a keyword mapping scheme from document content.</t>
  </si>
  <si>
    <t>To expand the corpus through reference snowballing.</t>
  </si>
  <si>
    <t>To extract relevant data/metadata from documents.</t>
  </si>
  <si>
    <t>To apply the inclusion and exclusion criteria to filter documents.</t>
  </si>
  <si>
    <t>To collect documents and metadata from the search results.</t>
  </si>
  <si>
    <t>To adjust the SLR protocol if necessary.</t>
  </si>
  <si>
    <t>To evaluate the protocol quality using control instruments.</t>
  </si>
  <si>
    <t>To establish the inclusion and exclusion criteria.</t>
  </si>
  <si>
    <t>Documents fulfil allselection criteria?</t>
  </si>
  <si>
    <t>Report passes qualitystandards?</t>
  </si>
  <si>
    <t>To verify if the literature review tasks meet all qualitycheckpoints.</t>
  </si>
  <si>
    <t>To ensure the documents fulfil all inclusion/exclusionand quality criteria.</t>
  </si>
  <si>
    <t>To confirm the SLR report passes the qualitycheckpoints.</t>
  </si>
  <si>
    <t>Classification Mapping Scheme</t>
  </si>
  <si>
    <t>Survey Report</t>
  </si>
  <si>
    <t>Defined research questions for dimensional analysis.</t>
  </si>
  <si>
    <t>Selected academic sources and search strategy in thereview protocol.</t>
  </si>
  <si>
    <t>Specified search string based on research questions.</t>
  </si>
  <si>
    <t>Classification mapping scheme for primary documents using analysis tools.</t>
  </si>
  <si>
    <t>Analysis of primary documents (contributions, gaps, and challenges).</t>
  </si>
  <si>
    <t>Definitive report for the Systematic Literature Review.</t>
  </si>
  <si>
    <t>To summarize document sections (methodology, tools, results, insights, limitations, and future work).</t>
  </si>
  <si>
    <t>We select documents from IEEE Xplore, ACM Digital Library, Springer Nature/Link, ASME Digital Collection, and Science Direct.</t>
  </si>
  <si>
    <t>We manage references data and metadata with Zotero ©.</t>
  </si>
  <si>
    <t>We analyse reference data and metadata using Voyant ©.</t>
  </si>
  <si>
    <t>RQ-01</t>
  </si>
  <si>
    <t>RQ-02</t>
  </si>
  <si>
    <t>RQ-03</t>
  </si>
  <si>
    <t xml:space="preserve"> What are the current applications of Dimensional Analysis in software architecture or development?</t>
  </si>
  <si>
    <t xml:space="preserve"> How do engineers use Dimensional Analysis in software architecture or development?</t>
  </si>
  <si>
    <t xml:space="preserve"> What software tools are associated with Dimensional Analysis?</t>
  </si>
  <si>
    <t>The main topics, concepts, or issues (e.g., softwaremetrics, performance) addressed in the documents.</t>
  </si>
  <si>
    <t>The techniques or approaches used (e.g., case study,simulation) in the research.</t>
  </si>
  <si>
    <t>The instruments, artifacts, software, or models applied(e.g., MATLAB, custom scripts) in the study.</t>
  </si>
  <si>
    <t>The results, findings, or conclusions (e.g., improvedaccuracy, limitations) found.</t>
  </si>
  <si>
    <t>ELEMENT</t>
  </si>
  <si>
    <t>Population</t>
  </si>
  <si>
    <t>Intervention</t>
  </si>
  <si>
    <t>Comparison</t>
  </si>
  <si>
    <t>Studies (2010–2020, updated to 2024) on Dimensional Analysis in softwarearchitecture or development.</t>
  </si>
  <si>
    <t>Application of DA in software architecture or development, aligned with ourResearch Questions.</t>
  </si>
  <si>
    <t>No external group: survey repeated in 2020 and 2024 for internal comparison.</t>
  </si>
  <si>
    <t>Identify the current state and trends of DA in software architecture ordevelopment.</t>
  </si>
  <si>
    <t>CRITERIA</t>
  </si>
  <si>
    <t>Inclusion</t>
  </si>
  <si>
    <t>Exclusion</t>
  </si>
  <si>
    <t>Date Relevance</t>
  </si>
  <si>
    <t>Text Availability</t>
  </si>
  <si>
    <t>Document Type</t>
  </si>
  <si>
    <t>Title Keywords</t>
  </si>
  <si>
    <t>Abstract Keywords</t>
  </si>
  <si>
    <t>No Title</t>
  </si>
  <si>
    <t>No Authors</t>
  </si>
  <si>
    <t>No DOI</t>
  </si>
  <si>
    <t>No Abstract</t>
  </si>
  <si>
    <t>Is Book</t>
  </si>
  <si>
    <t>Not Readable</t>
  </si>
  <si>
    <t>Published 2010–2020 (or 2010–2024 for update).</t>
  </si>
  <si>
    <t>Text fully available in one of the academic sources.</t>
  </si>
  <si>
    <t>Labelled as article, conference paper, journal, orproceedings.</t>
  </si>
  <si>
    <t>Title includes “Dimensional Analysis”,“Dimensionless Coefficients”, “Π-Theorem”,“Software”, “Design”, “Tools”, “Development”,“Architecture”</t>
  </si>
  <si>
    <t>Summary includes relevant keywords as the tittle.</t>
  </si>
  <si>
    <t>Document does NOT have a title.</t>
  </si>
  <si>
    <t>Authors NOT listed in the document.</t>
  </si>
  <si>
    <t>No Digital Object Identifier (DOI ).</t>
  </si>
  <si>
    <t>No summary or abstract.</t>
  </si>
  <si>
    <t>Labelled as a book or book part (e.g., chapter orsection).</t>
  </si>
  <si>
    <t>Written in a language other than English or Spanish.</t>
  </si>
  <si>
    <t>SD-01</t>
  </si>
  <si>
    <t>SD-02</t>
  </si>
  <si>
    <t>SD-03</t>
  </si>
  <si>
    <t>SD-04</t>
  </si>
  <si>
    <t>SD-05</t>
  </si>
  <si>
    <t>SD-06</t>
  </si>
  <si>
    <t>SD-07</t>
  </si>
  <si>
    <t>SD-08</t>
  </si>
  <si>
    <t>SD-09</t>
  </si>
  <si>
    <t>SMD-01</t>
  </si>
  <si>
    <t>SMD-02</t>
  </si>
  <si>
    <t>SMD-03</t>
  </si>
  <si>
    <t>SMD-04</t>
  </si>
  <si>
    <t>SMD-05</t>
  </si>
  <si>
    <t>SMD-06</t>
  </si>
  <si>
    <t>Data</t>
  </si>
  <si>
    <t>Metadata</t>
  </si>
  <si>
    <t>Abstract</t>
  </si>
  <si>
    <t>Keywords</t>
  </si>
  <si>
    <t>Author</t>
  </si>
  <si>
    <t>Methodology</t>
  </si>
  <si>
    <t>Results</t>
  </si>
  <si>
    <t>Limitations</t>
  </si>
  <si>
    <t>Future Directions</t>
  </si>
  <si>
    <t>References</t>
  </si>
  <si>
    <t>Source</t>
  </si>
  <si>
    <t>Venue</t>
  </si>
  <si>
    <t>Date Added</t>
  </si>
  <si>
    <t>Year</t>
  </si>
  <si>
    <t>DOI</t>
  </si>
  <si>
    <t>Type</t>
  </si>
  <si>
    <t>Given document title.</t>
  </si>
  <si>
    <t>Reported document summary.</t>
  </si>
  <si>
    <t>Keywords or labels from the academic source.</t>
  </si>
  <si>
    <t>Listed contributors and collaborators.</t>
  </si>
  <si>
    <t>Reported research methods.</t>
  </si>
  <si>
    <t>Used software or technologies.</t>
  </si>
  <si>
    <t>Main findings and contributions.</t>
  </si>
  <si>
    <t>Discussed limitations and challenges.</t>
  </si>
  <si>
    <t>Proposed future work.</t>
  </si>
  <si>
    <t>Cited works details and count.</t>
  </si>
  <si>
    <t>Academic database name.</t>
  </si>
  <si>
    <t>Publication title.</t>
  </si>
  <si>
    <t>Date added to the database.</t>
  </si>
  <si>
    <t>Publication year.</t>
  </si>
  <si>
    <t>Digital Object Identifier.</t>
  </si>
  <si>
    <t>Document type.</t>
  </si>
  <si>
    <t>FEATURE</t>
  </si>
  <si>
    <t>Key Sources</t>
  </si>
  <si>
    <t>Centrality</t>
  </si>
  <si>
    <t>Research Goals</t>
  </si>
  <si>
    <t>Evidence</t>
  </si>
  <si>
    <t>References key or indexed sources on Dimensional Analysis? (Y/N).</t>
  </si>
  <si>
    <t>Dimensional Analysis central to the document? (Y/N/P).</t>
  </si>
  <si>
    <t>States an objective, research question, or modelling goal on Dimensional Analysis? (Y/N/P).</t>
  </si>
  <si>
    <t>Describes or applies identifiable steps, rules, or computational procedures related to Dimen-sional Analysis? (Y/N/P).</t>
  </si>
  <si>
    <t>Provides quantitative evidence, simulation results, or empirical validation to support the appli-cation of Dimensional Analysis? (Y/N/P).</t>
  </si>
  <si>
    <t>Discusses challenges of applying Dimensional Analysis in the research context? (Y/N/P).</t>
  </si>
  <si>
    <t>ComputerScience -Research and Developmen</t>
  </si>
  <si>
    <t>Parallel Processing and  Applied Mathematics</t>
  </si>
  <si>
    <t>THEME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</si>
  <si>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</si>
  <si>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</si>
  <si>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</si>
  <si>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</si>
  <si>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</si>
  <si>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</si>
  <si>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</si>
  <si>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</si>
  <si>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</si>
  <si>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</si>
  <si>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</si>
  <si>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</si>
  <si>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</si>
  <si>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</si>
  <si>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</si>
  <si>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Theoretical Foundation</t>
  </si>
  <si>
    <t>Dimensional Adaptation</t>
  </si>
  <si>
    <t>Methodological Integration</t>
  </si>
  <si>
    <t>Artifact Enhancement</t>
  </si>
  <si>
    <t>Historical Progression</t>
  </si>
  <si>
    <t>Limited Application</t>
  </si>
  <si>
    <t>Numrich’s Contributions</t>
  </si>
  <si>
    <t>Criticism &amp; Limitations</t>
  </si>
  <si>
    <t>Application Patterns</t>
  </si>
  <si>
    <t>Complementary Frameworks</t>
  </si>
  <si>
    <t>Missed Opportunity</t>
  </si>
  <si>
    <t>Enhancing Architecture</t>
  </si>
  <si>
    <t>Gap in Tooling</t>
  </si>
  <si>
    <t>Empirical Validation</t>
  </si>
  <si>
    <t>Lower Entry Barrier</t>
  </si>
  <si>
    <t>Görtler’s work provides robust DA foundations for software, untapped outsideperformance modelling.</t>
  </si>
  <si>
    <t>Adapting physical FDUs to software architecture requires satisfying Görtler’s requirements andprinciples.</t>
  </si>
  <si>
    <t>Integrate DA into design methodologies like ADD 3.0.</t>
  </si>
  <si>
    <t>Enhance architecture artifacts (UML, C4, Quality Scenarios) with DA annotations.</t>
  </si>
  <si>
    <t>DA evolved from Hockney’s empirical surfaces to Numrich’s rigorous modelling.</t>
  </si>
  <si>
    <t>DA focuses on computational performance, minimal exploration in broader softwarearchitecture.</t>
  </si>
  <si>
    <t>Numrich introduced the concepts of “computational forces”, “efficiency surfaces”, and“dimensionless ratios”.</t>
  </si>
  <si>
    <t>Numrich’s approach was critiqued as too abstract [27, 28]</t>
  </si>
  <si>
    <t>Consistent patterns: simplify relationships, enable comparison, reveal scaling, identify invariants.</t>
  </si>
  <si>
    <t>Integrate Queue Theory, AMAT, Markov Chains with DA principles.</t>
  </si>
  <si>
    <t>SAS lacks formal frameworks [63], gap DA could fill.</t>
  </si>
  <si>
    <t>Extend DA beyond performance to QA trade-offs and design decisions.</t>
  </si>
  <si>
    <t>Researchers use general-purpose tools, either custom-built or adapted, as there are no specialised DA tools.</t>
  </si>
  <si>
    <t>Need empirical studies to validate DA in real-world scenarios.</t>
  </si>
  <si>
    <t>Need training initiatives for architects and developers in DA principles.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</si>
</sst>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0" fontId="13" fillId="3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3" fillId="3" borderId="1" xfId="1" applyBorder="1" applyAlignment="1">
      <alignment horizontal="center" vertical="center" wrapText="1"/>
    </xf>
    <xf numFmtId="0" fontId="13" fillId="3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1" fillId="0" borderId="3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216">
    <dxf>
      <alignment horizontal="left" vertical="center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</border>
    </dxf>
    <dxf>
      <numFmt numFmtId="30" formatCode="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numFmt numFmtId="30" formatCode="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i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Felipe Arteaga Martin" id="{7FAA29A5-9C21-4AC8-9263-BF9D2E9E6181}" userId="S::sa-artea@uniandes.edu.co::fe5ae3a7-ca5b-4410-8a64-8ee3665295b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B1193-6F9C-4403-86A3-65F2C3670ECC}" name="Table1" displayName="Table1" ref="B2:E10" totalsRowShown="0" headerRowDxfId="215" dataDxfId="214">
  <autoFilter ref="B2:E10" xr:uid="{255B1193-6F9C-4403-86A3-65F2C3670ECC}"/>
  <tableColumns count="4">
    <tableColumn id="1" xr3:uid="{1271F805-1009-4B1C-B72A-A41788242502}" name="CONNECTOR" dataDxfId="213"/>
    <tableColumn id="2" xr3:uid="{D947273F-EECC-41B7-B7D0-B1F0839E20BF}" name="DEFINITION" dataDxfId="212"/>
    <tableColumn id="3" xr3:uid="{03745BDE-4287-4430-A3BC-D1DBA7CABC93}" name="ROLES" dataDxfId="211"/>
    <tableColumn id="4" xr3:uid="{C05855C9-E48B-43BE-892B-0C9B6D5FE60B}" name="EXAMPLES" dataDxfId="210"/>
  </tableColumns>
  <tableStyleInfo name="TableStyleLight1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1B77D-84C2-4784-B877-89C5C9ED99B9}" name="Table3" displayName="Table3" ref="B3:D22" totalsRowShown="0" headerRowDxfId="209" dataDxfId="207" headerRowBorderDxfId="208" tableBorderDxfId="206">
  <autoFilter ref="B3:D22" xr:uid="{8FE1B77D-84C2-4784-B877-89C5C9ED99B9}">
    <filterColumn colId="0" hiddenButton="1"/>
    <filterColumn colId="1" hiddenButton="1"/>
    <filterColumn colId="2" hiddenButton="1"/>
  </autoFilter>
  <tableColumns count="3">
    <tableColumn id="1" xr3:uid="{AD143ABF-4376-4D42-8672-FE56CC097F55}" name="ID" dataDxfId="205"/>
    <tableColumn id="4" xr3:uid="{FE4C3B40-2081-4C10-92CD-3A6C491A575B}" name="NAME" dataDxfId="204"/>
    <tableColumn id="5" xr3:uid="{77287B5D-2072-4FE1-945B-D00DB348875F}" name="DESCRIPTION" dataDxfId="203"/>
  </tableColumns>
  <tableStyleInfo name="TableStyleLight1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3E322-88C1-47D0-842B-AC782D017BB5}" name="Table4" displayName="Table4" ref="B2:D5" totalsRowShown="0" headerRowDxfId="202" dataDxfId="201">
  <autoFilter ref="B2:D5" xr:uid="{C373E322-88C1-47D0-842B-AC782D017BB5}"/>
  <tableColumns count="3">
    <tableColumn id="1" xr3:uid="{A669D593-BBE5-4EF1-B600-EEDDC726CD92}" name="ID" dataDxfId="200"/>
    <tableColumn id="2" xr3:uid="{081928FF-8D40-4F5A-AB1E-FBDE07DF523A}" name="NAME" dataDxfId="199"/>
    <tableColumn id="3" xr3:uid="{1A92C6F3-BFC4-48CC-893A-B77FE60807D4}" name="DESCRIPTION" dataDxfId="198"/>
  </tableColumns>
  <tableStyleInfo name="TableStyleLight1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1FE57B-3E37-41E7-8183-E051688619AF}" name="Table6" displayName="Table6" ref="B2:D14" totalsRowShown="0" headerRowDxfId="197" dataDxfId="196">
  <autoFilter ref="B2:D14" xr:uid="{B01FE57B-3E37-41E7-8183-E051688619AF}"/>
  <tableColumns count="3">
    <tableColumn id="1" xr3:uid="{AA9A7E42-7CC6-4414-891E-04076D1C0E7F}" name="ID" dataDxfId="195"/>
    <tableColumn id="2" xr3:uid="{649C43B2-2029-4D9B-B49B-7E9EA05013D2}" name="NAME" dataDxfId="194"/>
    <tableColumn id="3" xr3:uid="{46D00A8C-AB46-4A05-BC81-FB363D21024F}" name="DESCRIPTION" dataDxfId="193"/>
  </tableColumns>
  <tableStyleInfo name="TableStyleLight1" showFirstColumn="1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D462CA-982A-4210-899B-31F541BFF8ED}" name="Table5" displayName="Table5" ref="B2:D5" totalsRowShown="0" headerRowDxfId="192" dataDxfId="191">
  <autoFilter ref="B2:D5" xr:uid="{07D462CA-982A-4210-899B-31F541BFF8ED}"/>
  <tableColumns count="3">
    <tableColumn id="1" xr3:uid="{9BD1B821-BC19-4BDA-A121-1E7DB44BD82B}" name="ID" dataDxfId="190"/>
    <tableColumn id="2" xr3:uid="{8793CF01-509F-4DFD-ACD7-6A9F1D9781A9}" name="NAME" dataDxfId="189"/>
    <tableColumn id="3" xr3:uid="{3EE6F8E0-AC50-48A6-BEE2-042ECB781257}" name="DESCRIPTION" dataDxfId="188"/>
  </tableColumns>
  <tableStyleInfo name="TableStyleLight1" showFirstColumn="1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ED044-F3A7-48CC-BA30-6CC5A6DDAC60}" name="Table2" displayName="Table2" ref="B2:E7" headerRowDxfId="187" dataDxfId="186" totalsRowDxfId="185">
  <autoFilter ref="B2:E7" xr:uid="{D8BED044-F3A7-48CC-BA30-6CC5A6DDAC60}"/>
  <tableColumns count="4">
    <tableColumn id="1" xr3:uid="{87FFB569-4F30-4D34-B7E8-60248EE8F903}" name=" SOURCE" totalsRowLabel="Total" dataDxfId="184" totalsRowDxfId="183"/>
    <tableColumn id="2" xr3:uid="{6CABAC93-BE18-4ADF-B923-56E9E74FD838}" name="SEARCH STRING" dataDxfId="182" totalsRowDxfId="181"/>
    <tableColumn id="3" xr3:uid="{B470C632-EC62-43D6-9DEC-C3339825B352}" name="PERIOD" dataDxfId="180" totalsRowDxfId="179"/>
    <tableColumn id="4" xr3:uid="{A43F36B1-E24A-4D94-95ED-6660C476A2D4}" name="SORT BY" totalsRowFunction="count" dataDxfId="178" totalsRowDxfId="177"/>
  </tableColumns>
  <tableStyleInfo name="TableStyleLight1" showFirstColumn="1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9EC71B-625C-44A1-8DBE-787225B4ED12}" name="Table10" displayName="Table10" ref="C3:D6" totalsRowShown="0" headerRowDxfId="176" dataDxfId="175">
  <autoFilter ref="C3:D6" xr:uid="{149EC71B-625C-44A1-8DBE-787225B4ED12}"/>
  <tableColumns count="2">
    <tableColumn id="1" xr3:uid="{035C2F2F-6F72-498E-B4A3-123D9BB308AF}" name="ID" dataDxfId="174"/>
    <tableColumn id="2" xr3:uid="{B37C7BF4-1CD8-43E5-9BA7-80AE29C47C1A}" name="DESCRIPTION" dataDxfId="173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748860-5932-41DA-B5C2-1BB70B18F826}" name="Table11" displayName="Table11" ref="C3:D7" totalsRowShown="0" headerRowDxfId="172" dataDxfId="171">
  <autoFilter ref="C3:D7" xr:uid="{78748860-5932-41DA-B5C2-1BB70B18F826}"/>
  <tableColumns count="2">
    <tableColumn id="1" xr3:uid="{9336AA8E-55B0-4547-8329-1F38E45EE788}" name="ELEMENT" dataDxfId="170"/>
    <tableColumn id="2" xr3:uid="{1BC23B4E-48EC-4864-BD6D-060E412E45E6}" name="DESCRIPTION" dataDxfId="169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9A673E-D26E-4938-BA40-6A2B1009979F}" name="Table13" displayName="Table13" ref="B2:E13" totalsRowShown="0" headerRowDxfId="168">
  <autoFilter ref="B2:E13" xr:uid="{739A673E-D26E-4938-BA40-6A2B1009979F}"/>
  <tableColumns count="4">
    <tableColumn id="1" xr3:uid="{5AF6A55A-754F-4493-902D-CFD950602492}" name="ID" dataDxfId="167"/>
    <tableColumn id="2" xr3:uid="{03EA9B76-BCB7-4D16-AF49-7F956211820D}" name="TYPE" dataDxfId="166"/>
    <tableColumn id="3" xr3:uid="{71627440-E122-4985-85F2-C2F45AE2D873}" name="CRITERIA" dataDxfId="165"/>
    <tableColumn id="4" xr3:uid="{1BF42D03-45D1-4B5E-87E5-CA6E9BDAA354}" name="DESCRIPTION" dataDxfId="164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E7DC8D-B978-43FF-9371-F6AE4D2B4F84}" name="Table1322" displayName="Table1322" ref="B3:E19" totalsRowShown="0" headerRowDxfId="163">
  <autoFilter ref="B3:E19" xr:uid="{FEE7DC8D-B978-43FF-9371-F6AE4D2B4F84}"/>
  <tableColumns count="4">
    <tableColumn id="1" xr3:uid="{02527998-76C8-40BC-8429-A9955F297922}" name="ID" dataDxfId="162"/>
    <tableColumn id="2" xr3:uid="{883381C1-EDD2-456D-8673-56712D5CC453}" name="TYPE" dataDxfId="161"/>
    <tableColumn id="3" xr3:uid="{5964014D-379D-4930-9F12-1B39C5A2C432}" name="CRITERIA" dataDxfId="160"/>
    <tableColumn id="4" xr3:uid="{86B0C5F3-A95D-477F-8C45-C458ED6027CD}" name="DESCRIPTION" dataDxfId="159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F44028-FE96-4134-92C0-35D932C8AB0C}" name="Table12" displayName="Table12" ref="B2:D6" totalsRowShown="0">
  <autoFilter ref="B2:D6" xr:uid="{F1A81424-782A-42DE-B679-B20BB42AAEDA}"/>
  <tableColumns count="3">
    <tableColumn id="1" xr3:uid="{A6B67EBC-DAC3-4AEF-8DDB-3588AE14641B}" name="ID" dataDxfId="158"/>
    <tableColumn id="2" xr3:uid="{1CFED562-25EF-4D31-8FA2-63FB9C4597E3}" name="CATEGORY" dataDxfId="157"/>
    <tableColumn id="3" xr3:uid="{433BDD00-8A10-436A-9942-15E0528E5711}" name="DESCRIPTION" dataDxfId="156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18FA9F-4FBE-4A2F-B08B-14034D08E6FD}" name="Table22" displayName="Table22" ref="B4:D10" totalsRowShown="0" headerRowDxfId="155" dataDxfId="154">
  <autoFilter ref="B4:D10" xr:uid="{1B18FA9F-4FBE-4A2F-B08B-14034D08E6FD}"/>
  <tableColumns count="3">
    <tableColumn id="1" xr3:uid="{62D71646-1BE3-4E82-B996-0CBA8715A59A}" name="ID" dataDxfId="153"/>
    <tableColumn id="2" xr3:uid="{C0FAA360-4B27-431C-B490-69CB8AB8B48A}" name="FEATURE" dataDxfId="152"/>
    <tableColumn id="3" xr3:uid="{A59B9A72-B67F-49AD-80F5-26132AAA5575}" name="DESCRIPTION" dataDxfId="151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93DDDA-017D-453B-9A99-EDA78256304D}" name="Table1019269" displayName="Table1019269" ref="B3:G9" totalsRowCount="1" headerRowDxfId="150" dataDxfId="148" totalsRowDxfId="147" headerRowBorderDxfId="149">
  <autoFilter ref="B3:G8" xr:uid="{4193DDDA-017D-453B-9A99-EDA78256304D}"/>
  <sortState xmlns:xlrd2="http://schemas.microsoft.com/office/spreadsheetml/2017/richdata2" ref="B4:K8">
    <sortCondition ref="B4:B9"/>
  </sortState>
  <tableColumns count="6">
    <tableColumn id="1" xr3:uid="{11CA10AD-408E-4DFF-9ED6-B34055529398}" name="SOURCE" totalsRowLabel="SUM" dataDxfId="146" totalsRowDxfId="145"/>
    <tableColumn id="2" xr3:uid="{A8D0FB50-72D4-44EC-9168-2DD6480A6C60}" name="TALLY" totalsRowFunction="sum" dataDxfId="144" totalsRowDxfId="143"/>
    <tableColumn id="3" xr3:uid="{F074C68B-3AB3-4CB0-B74E-60798D68A4D7}" name="AVAIL" totalsRowFunction="sum" dataDxfId="142" totalsRowDxfId="141"/>
    <tableColumn id="6" xr3:uid="{AA386EFE-DCAE-4668-89A6-ABE38803CAD8}" name="PUB/YR." dataDxfId="140" totalsRowDxfId="139"/>
    <tableColumn id="13" xr3:uid="{2AC77787-916B-41AC-BA7B-78EE86C40840}" name="DOC TYPES" dataDxfId="138" totalsRowDxfId="137"/>
    <tableColumn id="12" xr3:uid="{2528AF18-54DC-4B14-80B0-936838211E00}" name="PUB TOPICS" dataDxfId="136" totalsRowDxfId="135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D487B4-78F8-4FDD-BE10-506515F13F37}" name="Table1019261615" displayName="Table1019261615" ref="B12:G18" totalsRowCount="1" headerRowDxfId="134" dataDxfId="132" totalsRowDxfId="131" headerRowBorderDxfId="133">
  <autoFilter ref="B12:G17" xr:uid="{A3D487B4-78F8-4FDD-BE10-506515F13F37}"/>
  <sortState xmlns:xlrd2="http://schemas.microsoft.com/office/spreadsheetml/2017/richdata2" ref="B13:K17">
    <sortCondition ref="B4:B9"/>
  </sortState>
  <tableColumns count="6">
    <tableColumn id="1" xr3:uid="{11055298-BC97-4D39-874B-987F85E5F48B}" name="SOURCE" totalsRowLabel="SUM" dataDxfId="130" totalsRowDxfId="129"/>
    <tableColumn id="2" xr3:uid="{92CE17B7-AC70-4C05-9FB6-B40C534703A0}" name="TALLY" totalsRowFunction="sum" dataDxfId="128" totalsRowDxfId="127"/>
    <tableColumn id="3" xr3:uid="{DBC07B72-E055-4FA9-BE9E-84C9A95C9674}" name="AVAIL" totalsRowFunction="sum" dataDxfId="126" totalsRowDxfId="125"/>
    <tableColumn id="6" xr3:uid="{A7FFC722-0544-47FC-A288-829E1A6A2B97}" name="PUB/YR." dataDxfId="124" totalsRowDxfId="123"/>
    <tableColumn id="13" xr3:uid="{2F0157C1-6D19-49F1-A8C0-95FFC423C282}" name="DOC TYPES" dataDxfId="122" totalsRowDxfId="121"/>
    <tableColumn id="12" xr3:uid="{5B87CA99-2D3E-426D-A238-94BB036B3EE6}" name="PUB TOPICS" dataDxfId="120" totalsRowDxfId="119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61BADF6-B851-4C32-B3C2-B98F8C189C70}" name="Table15" displayName="Table15" ref="B2:G19" totalsRowShown="0" headerRowDxfId="118" dataDxfId="117">
  <autoFilter ref="B2:G19" xr:uid="{161BADF6-B851-4C32-B3C2-B98F8C189C70}"/>
  <tableColumns count="6">
    <tableColumn id="1" xr3:uid="{658A1180-F97A-4511-B827-DE14D9EB9412}" name="TASK" dataDxfId="116"/>
    <tableColumn id="2" xr3:uid="{51238D35-50B1-4C19-BCC2-D7799DEAD97F}" name="RELEVANT FEATURE" dataDxfId="115"/>
    <tableColumn id="3" xr3:uid="{C70B6867-7CB0-49CD-8C3F-63AD29263BEB}" name="DESCRIPTION" dataDxfId="114"/>
    <tableColumn id="4" xr3:uid="{889E48CE-43DC-4D9D-B233-6712EBB0E837}" name="RATIONALE" dataDxfId="113"/>
    <tableColumn id="5" xr3:uid="{7F19EC22-9AF7-4452-9E9C-591575D69B62}" name="CNT @2024" dataDxfId="112"/>
    <tableColumn id="6" xr3:uid="{7AE448E4-9D8E-4C14-9C82-B44190B37C22}" name="CNT @2020" dataDxfId="111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E32A35-493F-450A-A281-E6185FC5298F}" name="Table2529" displayName="Table2529" ref="B2:M10" totalsRowShown="0" headerRowDxfId="110" dataDxfId="108" headerRowBorderDxfId="109" tableBorderDxfId="107">
  <autoFilter ref="B2:M10" xr:uid="{DDE32A35-493F-450A-A281-E6185FC5298F}"/>
  <tableColumns count="12">
    <tableColumn id="1" xr3:uid="{114F478D-76C5-4F4D-B658-4B29FBFE4389}" name="Key" dataDxfId="106"/>
    <tableColumn id="3" xr3:uid="{C97195E2-640A-4478-B3CB-5F9E203FFC1E}" name="Document Title" dataDxfId="105"/>
    <tableColumn id="2" xr3:uid="{55DA77DA-7056-44C5-94C0-7EFFA35F22FE}" name="RELV. DOC ID" dataDxfId="104"/>
    <tableColumn id="4" xr3:uid="{400C926B-77CB-4FEB-BF00-38A187201979}" name="PUB YR" dataDxfId="103"/>
    <tableColumn id="5" xr3:uid="{66B476CB-CC10-402C-9AEA-191712F0D2D8}" name="QF-01" dataDxfId="102"/>
    <tableColumn id="7" xr3:uid="{6502F183-BAAF-495F-B672-25FAAECE5556}" name="QF-02" dataDxfId="101"/>
    <tableColumn id="8" xr3:uid="{C60D00C0-5816-46AA-82F3-E04F053A5D8A}" name="QF-03" dataDxfId="100"/>
    <tableColumn id="9" xr3:uid="{A48919F8-960C-4AA3-A500-2C0B5D4C7D6B}" name="QF-04" dataDxfId="99"/>
    <tableColumn id="20" xr3:uid="{A4FAB541-04D6-422F-9E79-8350A523C104}" name="QF-05" dataDxfId="98"/>
    <tableColumn id="10" xr3:uid="{30896B31-096C-4440-A156-25321BA52493}" name="QF-06" dataDxfId="97"/>
    <tableColumn id="12" xr3:uid="{9D1677DC-7449-4DB9-9588-7F6AFBE88A12}" name="SC" dataDxfId="96">
      <calculatedColumnFormula>SUM(COUNTIF(Table2529[[#This Row],[QF-01]:[QF-06]],"YES"),COUNTIF(Table2529[[#This Row],[QF-01]:[QF-06]],"PARTIALLY")/2,COUNTIF(Table2529[[#This Row],[QF-01]:[QF-06]],"YES/NO"))/COUNTA(Table2529[[#This Row],[QF-01]:[QF-06]])</calculatedColumnFormula>
    </tableColumn>
    <tableColumn id="15" xr3:uid="{82B82A65-B098-489C-A011-19F0E9CE0010}" name="SELECT?" dataDxfId="95" dataCellStyle="Normal">
      <calculatedColumnFormula>IF(Table2529[[#This Row],[SC]]&gt;0.7, "YES", "NO")</calculatedColumnFormula>
    </tableColumn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9C71F82-8F83-4F26-B006-10825967667A}" name="Table101626" displayName="Table101626" ref="B2:J9" totalsRowCount="1" headerRowDxfId="94" dataDxfId="93">
  <autoFilter ref="B2:J8" xr:uid="{D9C71F82-8F83-4F26-B006-10825967667A}"/>
  <sortState xmlns:xlrd2="http://schemas.microsoft.com/office/spreadsheetml/2017/richdata2" ref="B3:H5">
    <sortCondition ref="D2:D5"/>
  </sortState>
  <tableColumns count="9">
    <tableColumn id="1" xr3:uid="{88B007F4-2325-456A-9CF5-52D54BFBA013}" name="Voyant Title" dataDxfId="92" totalsRowDxfId="91"/>
    <tableColumn id="8" xr3:uid="{78708444-0E34-4DFB-9F4E-6DEBD2AC9DF4}" name="Document Title" dataDxfId="90" totalsRowDxfId="89"/>
    <tableColumn id="7" xr3:uid="{4C5009EB-2261-4864-9AFE-696995BA8887}" name="ID" totalsRowLabel="Average" dataDxfId="88" totalsRowDxfId="87"/>
    <tableColumn id="2" xr3:uid="{7BE8BA2C-D7C8-4F42-8853-A465DAD60B01}" name="Words" totalsRowFunction="average" dataDxfId="86" totalsRowDxfId="85"/>
    <tableColumn id="3" xr3:uid="{C53C7CD7-5B12-43F8-AEE6-3632FC30E1E0}" name="Types" totalsRowFunction="average" dataDxfId="84" totalsRowDxfId="83"/>
    <tableColumn id="4" xr3:uid="{BDBEF8BC-9273-4153-972F-9D650846BE2A}" name="Ratio" totalsRowFunction="average" dataDxfId="82" totalsRowDxfId="81">
      <calculatedColumnFormula>Table101626[[#This Row],[Types]]/Table101626[[#This Row],[Words]]</calculatedColumnFormula>
    </tableColumn>
    <tableColumn id="5" xr3:uid="{5274E139-AB40-4C9D-B376-6544FC601BDB}" name="Words/Sentence" totalsRowFunction="average" dataDxfId="80" totalsRowDxfId="79"/>
    <tableColumn id="6" xr3:uid="{CF001FDD-6195-4872-B146-A74D04F3C003}" name="Readability Index" totalsRowFunction="average" dataDxfId="78" totalsRowDxfId="77"/>
    <tableColumn id="9" xr3:uid="{E1947C31-D203-440A-9117-CCB5FF84E9B0}" name="Comment" dataDxfId="76" totalsRowDxfId="75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A846D4-5D22-43C5-BBB6-70EDC307FDC8}" name="Table8" displayName="Table8" ref="L2:P7" totalsRowShown="0" headerRowDxfId="74" dataDxfId="73">
  <autoFilter ref="L2:P7" xr:uid="{C6A846D4-5D22-43C5-BBB6-70EDC307FDC8}"/>
  <tableColumns count="5">
    <tableColumn id="1" xr3:uid="{A52B51C8-5A3B-4257-A029-8AC017519ADA}" name="TOPIC" dataDxfId="72"/>
    <tableColumn id="2" xr3:uid="{C0A7C5C6-989F-4799-B07D-425DCC9FCA68}" name="KEY TERMS" dataDxfId="71"/>
    <tableColumn id="3" xr3:uid="{C89CC8F9-ADC4-4AE7-8584-28972063F709}" name="MAIN SUBJECT" dataDxfId="70"/>
    <tableColumn id="4" xr3:uid="{50301F86-37C0-476E-92C6-CCCC667937A1}" name="SUGGESTED LABEL" dataDxfId="69"/>
    <tableColumn id="7" xr3:uid="{A05841CD-2DD7-4BAE-B6F5-3B3E7DCD9536}" name="LABEL" dataDxfId="68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A63E3D-3794-4A0E-8DC1-254E0EEF5061}" name="Table17" displayName="Table17" ref="B2:J8" totalsRowShown="0" headerRowDxfId="67" dataDxfId="66">
  <autoFilter ref="B2:J8" xr:uid="{93A63E3D-3794-4A0E-8DC1-254E0EEF5061}"/>
  <sortState xmlns:xlrd2="http://schemas.microsoft.com/office/spreadsheetml/2017/richdata2" ref="B3:J8">
    <sortCondition ref="D2:D8"/>
  </sortState>
  <tableColumns count="9">
    <tableColumn id="1" xr3:uid="{F7C09906-EC6C-482A-A2EA-7445D2130AB1}" name="Voyant Name" dataDxfId="65" totalsRowDxfId="64"/>
    <tableColumn id="3" xr3:uid="{E9DE1CDE-17D5-4D5E-BA86-51B60A34D2FB}" name="Title" dataDxfId="63" totalsRowDxfId="62"/>
    <tableColumn id="11" xr3:uid="{371CAC48-1F3E-438C-A579-6689560ACCBA}" name="ID" dataDxfId="61" totalsRowDxfId="60"/>
    <tableColumn id="4" xr3:uid="{9A1FEE30-6A60-4BB0-BF67-9CFB9A1E08E6}" name="DIMTHEO" dataDxfId="59" totalsRowDxfId="58"/>
    <tableColumn id="5" xr3:uid="{75473AF3-528C-478E-915E-743BB4C4DED2}" name="FORQUAN" dataDxfId="57" totalsRowDxfId="56"/>
    <tableColumn id="6" xr3:uid="{D139A9DD-1C78-4AF1-956C-EA925012BAD2}" name="HWARCH" dataDxfId="55" totalsRowDxfId="54"/>
    <tableColumn id="7" xr3:uid="{B9C0990B-20C1-43E9-9099-0D1C83850515}" name="COMPEFF" dataDxfId="53" totalsRowDxfId="52"/>
    <tableColumn id="8" xr3:uid="{DA3DBB8A-AC85-410B-9AF5-3FB3DA8B6CD7}" name="PROCMOD" dataDxfId="51" totalsRowDxfId="50"/>
    <tableColumn id="9" xr3:uid="{23BB2A2B-FA3F-40A6-99F0-57CFE9003BC4}" name="PRIMARY FOCUS" dataDxfId="49" totalsRowDxfId="48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7E099E4-9435-4128-9FC9-18AA6374185A}" name="Table20" displayName="Table20" ref="B2:E8" totalsRowShown="0" headerRowDxfId="47" dataDxfId="46">
  <autoFilter ref="B2:E8" xr:uid="{F7E099E4-9435-4128-9FC9-18AA6374185A}"/>
  <tableColumns count="4">
    <tableColumn id="1" xr3:uid="{B63BB0B0-9E3A-4676-8E9A-CEEAB3C341C8}" name="DOC ID" dataDxfId="45"/>
    <tableColumn id="2" xr3:uid="{F06164C5-C5CB-432E-9541-6004387795B7}" name="TITLE" dataDxfId="44"/>
    <tableColumn id="3" xr3:uid="{AB9BC6EE-95A4-4FAE-A7EE-1867F160CFAF}" name="CATEGORIES" dataDxfId="43"/>
    <tableColumn id="4" xr3:uid="{33DA5015-ECD6-4E0E-8E17-318431BD994C}" name="RATIONALE" dataDxfId="42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6FAA3A-FADC-4A9D-96D3-A7EFFC505B65}" name="Table710" displayName="Table710" ref="B2:K8" totalsRowShown="0" headerRowDxfId="41" dataDxfId="39" headerRowBorderDxfId="40" tableBorderDxfId="38">
  <autoFilter ref="B2:K8" xr:uid="{3DEAA6B6-9198-4ED2-9E8A-70B204DE32D4}"/>
  <tableColumns count="10">
    <tableColumn id="1" xr3:uid="{47C4024D-AEB5-4E9C-9450-6CDF8829C3C3}" name="ID" dataDxfId="37"/>
    <tableColumn id="2" xr3:uid="{4BE15B38-77FE-4797-AD0F-D4A1DE03E73C}" name="SOURCE" dataDxfId="36"/>
    <tableColumn id="4" xr3:uid="{E50281CA-7FE1-44B6-B8CA-EC677BAA5C27}" name="TITLE" dataDxfId="35"/>
    <tableColumn id="5" xr3:uid="{99E19774-3A65-490A-A9A2-2D92F082A478}" name="AUTHOR" dataDxfId="34"/>
    <tableColumn id="6" xr3:uid="{C06597F0-0259-4B1E-AAA2-6F95A668A63F}" name="PUB YR" dataDxfId="33"/>
    <tableColumn id="8" xr3:uid="{595E13DB-5145-41EC-B911-751E2D4A45F0}" name="VENUE" dataDxfId="32"/>
    <tableColumn id="10" xr3:uid="{1F50FEC0-AE55-466A-A8EE-8029673083D8}" name="TYPE" dataDxfId="31"/>
    <tableColumn id="15" xr3:uid="{CA099B9C-DC9A-4639-88E8-B5E017392E98}" name="SUMMARY" dataDxfId="30"/>
    <tableColumn id="22" xr3:uid="{CF5B1BDF-9E4A-47BA-BF40-F54141D4DEA9}" name="KEY CONCEPTS" dataDxfId="29"/>
    <tableColumn id="23" xr3:uid="{04B52BBB-4F73-455D-B4AE-2383AAD438CE}" name="REF CNT" dataDxfId="28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D525118-A6D9-435A-8793-C4362F34623D}" name="Table23" displayName="Table23" ref="B3:D18" totalsRowShown="0" headerRowDxfId="3" dataDxfId="2">
  <autoFilter ref="B3:D18" xr:uid="{2D525118-A6D9-435A-8793-C4362F34623D}"/>
  <tableColumns count="3">
    <tableColumn id="1" xr3:uid="{A2CAFBB1-94DB-4956-9FC8-E30AEF0BCE80}" name="ID" dataDxfId="4"/>
    <tableColumn id="2" xr3:uid="{C69601D5-C72B-412E-9E41-F199B4826967}" name="THEME" dataDxfId="1"/>
    <tableColumn id="3" xr3:uid="{4BF81A79-E1CA-4831-B7DC-132ECB19C56D}" name="DESCRIPTION" dataDxfId="0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EAA6B6-9198-4ED2-9E8A-70B204DE32D4}" name="Table7" displayName="Table7" ref="B2:N8" totalsRowShown="0" headerRowDxfId="27" dataDxfId="25" headerRowBorderDxfId="26" tableBorderDxfId="24">
  <autoFilter ref="B2:N8" xr:uid="{3DEAA6B6-9198-4ED2-9E8A-70B204DE32D4}"/>
  <tableColumns count="13">
    <tableColumn id="1" xr3:uid="{01622B28-D16F-46A1-B259-4F698F76530F}" name="ID" dataDxfId="23"/>
    <tableColumn id="4" xr3:uid="{8F0E90A3-B43D-4E1B-BF64-4026B229AC31}" name="TITLE" dataDxfId="22"/>
    <tableColumn id="5" xr3:uid="{5C3B61D5-10BD-47E3-B4B6-39B81079A225}" name="AUTHOR" dataDxfId="21"/>
    <tableColumn id="6" xr3:uid="{1EC08355-FFBA-4062-9790-47FF38A01548}" name="PUB YR" dataDxfId="20" dataCellStyle="Neutral"/>
    <tableColumn id="3" xr3:uid="{ECAC8B7E-0045-4D4D-86F6-A30D7DFE57AC}" name="VENUE" dataDxfId="19" dataCellStyle="Neutral"/>
    <tableColumn id="2" xr3:uid="{0BAB6681-CF77-44F5-BA9F-9908BDA401C3}" name="TYPE" dataDxfId="18" dataCellStyle="Neutral"/>
    <tableColumn id="16" xr3:uid="{D5ED8F76-199C-44DE-BD25-8329EA60A012}" name="METHODS" dataDxfId="17"/>
    <tableColumn id="17" xr3:uid="{4B99669A-6C42-4F14-9D55-86B959ECC8D8}" name="TOOLS" dataDxfId="16"/>
    <tableColumn id="18" xr3:uid="{06ECE25B-2A8B-4911-8B5E-8E60DF18DC98}" name="RESULTS" dataDxfId="15"/>
    <tableColumn id="19" xr3:uid="{39013842-5FC4-45C8-B6D2-805806C0864C}" name="LIMITATIONS" dataDxfId="14"/>
    <tableColumn id="20" xr3:uid="{B44B4614-1A52-4825-9FA6-27CF983404BE}" name="FUTURE DIRECTIONS" dataDxfId="13"/>
    <tableColumn id="22" xr3:uid="{F5B42CE8-B873-4A29-B180-0F0E27FC9180}" name="KEY CONCEPTS" dataDxfId="12"/>
    <tableColumn id="23" xr3:uid="{6CE977FC-C5C9-4F3C-BFF0-50D0E10F654D}" name="REF CNT" dataDxfId="1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7-10T22:19:34.03" personId="{7FAA29A5-9C21-4AC8-9263-BF9D2E9E6181}" id="{78321BB6-58A9-4466-A568-92480B60BF52}">
    <text xml:space="preserve">IC-02: Source Availability; Fully available in one of the academic sources (Section 2.2.2). </text>
  </threadedComment>
  <threadedComment ref="C5" dT="2025-07-10T22:19:13.89" personId="{7FAA29A5-9C21-4AC8-9263-BF9D2E9E6181}" id="{0B324706-E827-4EC5-954D-1028E7727263}">
    <text xml:space="preserve">IC-01: Date Relevance; Published between 2010–2020 (or 2010–2024 for the update). </text>
  </threadedComment>
  <threadedComment ref="C6" dT="2025-07-10T22:03:19.19" personId="{7FAA29A5-9C21-4AC8-9263-BF9D2E9E6181}" id="{4B081152-02F6-4290-AFEA-9A43E5D189D6}">
    <text xml:space="preserve">EC-06: Not Readable; document written in a language other than English or Spanish. </text>
  </threadedComment>
  <threadedComment ref="C7" dT="2025-07-10T22:03:09.34" personId="{7FAA29A5-9C21-4AC8-9263-BF9D2E9E6181}" id="{271B2DCC-C136-4378-B9BD-F7ADBA970FEA}">
    <text>EC-05: Is Book; document labelled as a book or a book part (e.g.: chapter or section).</text>
  </threadedComment>
  <threadedComment ref="C8" dT="2025-07-11T05:29:29.24" personId="{7FAA29A5-9C21-4AC8-9263-BF9D2E9E6181}" id="{94E0DABD-0A5A-47D4-99D9-BA87E8C315FD}">
    <text xml:space="preserve">IC-03: Document Type; document labelled as article, conference paper, journal, or proceedings. </text>
  </threadedComment>
  <threadedComment ref="C9" dT="2025-07-10T22:01:49.31" personId="{7FAA29A5-9C21-4AC8-9263-BF9D2E9E6181}" id="{C4983806-F9D8-4A7F-A575-B848BE661639}">
    <text xml:space="preserve">EC-01: No Title; document does NOT have a title. </text>
  </threadedComment>
  <threadedComment ref="C10" dT="2025-07-10T23:27:35.19" personId="{7FAA29A5-9C21-4AC8-9263-BF9D2E9E6181}" id="{C32A48E9-C0FF-41E5-9EB5-603BB9312721}">
    <text>EC-02: No Authors; authors NOT listed in the document.</text>
  </threadedComment>
  <threadedComment ref="C11" dT="2025-07-10T22:02:34.55" personId="{7FAA29A5-9C21-4AC8-9263-BF9D2E9E6181}" id="{D042ABAB-3FBE-4BCD-9F29-53832B6CAA03}">
    <text>EC-03: No DOI; document does NOT have a Digital Object Identifier (DOI ).</text>
  </threadedComment>
  <threadedComment ref="C12" dT="2025-07-11T06:03:17.70" personId="{7FAA29A5-9C21-4AC8-9263-BF9D2E9E6181}" id="{7411CCED-9C7D-40A1-AA55-71BF3F3BE9C0}">
    <text>EC-04: No Abstract; document does NOT have a summary or abstract.</text>
  </threadedComment>
  <threadedComment ref="C13" dT="2025-07-10T22:19:57.46" personId="{7FAA29A5-9C21-4AC8-9263-BF9D2E9E6181}" id="{D9477364-87B5-4BF5-8BC1-BB386A911B93}">
    <text xml:space="preserve">IC-04: Title Keywords; Title include words like:“Dimensional Analysis”,“Dimensionless Coefficients”,“Π-Theorem”, “Software”, “Design”, “Tools”, “Development”, or “Architecture”. </text>
  </threadedComment>
  <threadedComment ref="C14" dT="2025-07-10T22:21:12.04" personId="{7FAA29A5-9C21-4AC8-9263-BF9D2E9E6181}" id="{7E3D91D2-C8A9-40EA-9B73-15D216D0356D}">
    <text xml:space="preserve">IC-05: Abstract Keywords; Summary include words like: “Dimensional Analysis”, “Dimensionless Coefficients”, “Π-Theorem”, “Software”, “Design”, “Tools”, “Development”, or “Architecture”. </text>
  </threadedComment>
  <threadedComment ref="C14" dT="2025-07-11T01:08:17.27" personId="{7FAA29A5-9C21-4AC8-9263-BF9D2E9E6181}" id="{3B9C0E20-2F85-4904-B2AB-8CFFA9B02EDE}" parentId="{7E3D91D2-C8A9-40EA-9B73-15D216D0356D}">
    <text xml:space="preserve">E.g.:
=SUMPRODUCT(--ISNUMBER(SEARCH({"apple","banana","cherry"}, B1)))&gt;0 
Explanation:
SEARCH({"apple","banana","cherry"}, B1) checks if each word exists in B1.
ISNUMBER(...) returns TRUE/FALSE for each word.
-- converts TRUE/FALSE to 1/0.
SUMPRODUCT(...) sums the results, and &gt;0 returns TRUE if at least one word is found.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04-17T03:53:44.77" personId="{7FAA29A5-9C21-4AC8-9263-BF9D2E9E6181}" id="{89484925-10FF-4EBD-B159-4F1847893F5F}">
    <text>QF-01: References key or indexed sources on Dimensional Analysis? (Y /N ).</text>
  </threadedComment>
  <threadedComment ref="G2" dT="2023-04-17T03:53:59.90" personId="{7FAA29A5-9C21-4AC8-9263-BF9D2E9E6181}" id="{FD072318-235E-4B61-BC50-B6557B7AC5E3}">
    <text>QF-02: Is Dimensional Analysis central to the document? (Y /N /P ).</text>
  </threadedComment>
  <threadedComment ref="H2" dT="2023-04-17T03:54:15.86" personId="{7FAA29A5-9C21-4AC8-9263-BF9D2E9E6181}" id="{E7424919-E3B8-4B69-9711-37D5E03E1CC3}">
    <text>QF-03: states an objective, research question, or modeling goal on Dimensional Analysis? (Y /N /P ).</text>
  </threadedComment>
  <threadedComment ref="I2" dT="2023-04-17T03:54:32.88" personId="{7FAA29A5-9C21-4AC8-9263-BF9D2E9E6181}" id="{3A466795-599F-4CB9-8CB6-4D1A7A3A17D1}">
    <text>QF-04: Describes or applies identifiable steps, rules, or computational procedures related to Dimensional Analysis? (Y /N /P ).</text>
  </threadedComment>
  <threadedComment ref="J2" dT="2023-05-05T08:44:53.33" personId="{7FAA29A5-9C21-4AC8-9263-BF9D2E9E6181}" id="{5C47DB51-AB38-43E6-9258-BEFB4ED7DD3B}">
    <text>QF-05: Provides quantitative evidence, simulation results, or empirical validation to support the application of Dimensional Analysis? (Y /N /P ).</text>
  </threadedComment>
  <threadedComment ref="K2" dT="2023-04-17T03:55:06.03" personId="{7FAA29A5-9C21-4AC8-9263-BF9D2E9E6181}" id="{EAEA9848-50EB-43AC-883C-A31C5C50FF78}">
    <text>QF-06: Discusses limitations or challenges of applying Dimensional Analysis in the research context? (Y /N /P ).</text>
  </threadedComment>
  <threadedComment ref="C6" dT="2025-07-17T01:17:51.29" personId="{7FAA29A5-9C21-4AC8-9263-BF9D2E9E6181}" id="{F222ED87-B4A7-4BF4-B078-2B37C396747F}">
    <text>Although it introduces a novel analogy using energy and action, it doesn't include clear dimensional analysis procedures or empirical validation tied directly to dimensionless modeling.</text>
  </threadedComment>
  <threadedComment ref="C10" dT="2025-07-17T01:18:14.90" personId="{7FAA29A5-9C21-4AC8-9263-BF9D2E9E6181}" id="{220D3774-1DE3-45C4-861D-4F2F86F1F6E2}">
    <text>The paper is highly abstract and theoretical, using physics-inspired ideas, but it doesn't apply or validate standard dimensional analysis methods in a concrete or testable way.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E554-D409-4FD9-A10E-B58853B08A02}">
  <sheetPr codeName="Sheet1"/>
  <dimension ref="B2:E10"/>
  <sheetViews>
    <sheetView workbookViewId="0">
      <selection activeCell="C10" sqref="C10"/>
    </sheetView>
  </sheetViews>
  <sheetFormatPr defaultRowHeight="14.35" x14ac:dyDescent="0.5"/>
  <cols>
    <col min="2" max="2" width="14.3515625" style="1" bestFit="1" customWidth="1"/>
    <col min="3" max="3" width="40.41015625" style="3" bestFit="1" customWidth="1"/>
    <col min="4" max="4" width="22.234375" style="3" bestFit="1" customWidth="1"/>
    <col min="5" max="5" width="23.8203125" style="3" bestFit="1" customWidth="1"/>
  </cols>
  <sheetData>
    <row r="2" spans="2:5" s="2" customFormat="1" x14ac:dyDescent="0.5">
      <c r="B2" s="20" t="s">
        <v>0</v>
      </c>
      <c r="C2" s="15" t="s">
        <v>1</v>
      </c>
      <c r="D2" s="15" t="s">
        <v>2</v>
      </c>
      <c r="E2" s="15" t="s">
        <v>3</v>
      </c>
    </row>
    <row r="3" spans="2:5" ht="28.7" x14ac:dyDescent="0.5">
      <c r="B3" s="14" t="s">
        <v>4</v>
      </c>
      <c r="C3" s="3" t="s">
        <v>5</v>
      </c>
      <c r="D3" s="3" t="s">
        <v>6</v>
      </c>
      <c r="E3" s="3" t="s">
        <v>7</v>
      </c>
    </row>
    <row r="4" spans="2:5" ht="43" x14ac:dyDescent="0.5">
      <c r="B4" s="14" t="s">
        <v>8</v>
      </c>
      <c r="C4" s="3" t="s">
        <v>9</v>
      </c>
      <c r="D4" s="3" t="s">
        <v>6</v>
      </c>
      <c r="E4" s="3" t="s">
        <v>10</v>
      </c>
    </row>
    <row r="5" spans="2:5" x14ac:dyDescent="0.5">
      <c r="B5" s="14" t="s">
        <v>11</v>
      </c>
      <c r="C5" s="3" t="s">
        <v>12</v>
      </c>
      <c r="D5" s="3" t="s">
        <v>13</v>
      </c>
      <c r="E5" s="3" t="s">
        <v>14</v>
      </c>
    </row>
    <row r="6" spans="2:5" ht="57.35" x14ac:dyDescent="0.5">
      <c r="B6" s="14" t="s">
        <v>15</v>
      </c>
      <c r="C6" s="3" t="s">
        <v>16</v>
      </c>
      <c r="D6" s="3" t="s">
        <v>17</v>
      </c>
      <c r="E6" s="3" t="s">
        <v>18</v>
      </c>
    </row>
    <row r="7" spans="2:5" ht="28.7" x14ac:dyDescent="0.5">
      <c r="B7" s="14" t="s">
        <v>19</v>
      </c>
      <c r="C7" s="3" t="s">
        <v>20</v>
      </c>
      <c r="D7" s="3" t="s">
        <v>17</v>
      </c>
      <c r="E7" s="3" t="s">
        <v>21</v>
      </c>
    </row>
    <row r="8" spans="2:5" ht="43" x14ac:dyDescent="0.5">
      <c r="B8" s="14" t="s">
        <v>22</v>
      </c>
      <c r="C8" s="3" t="s">
        <v>23</v>
      </c>
      <c r="D8" s="3" t="s">
        <v>24</v>
      </c>
      <c r="E8" s="3" t="s">
        <v>25</v>
      </c>
    </row>
    <row r="9" spans="2:5" ht="28.7" x14ac:dyDescent="0.5">
      <c r="B9" s="14" t="s">
        <v>26</v>
      </c>
      <c r="C9" s="3" t="s">
        <v>27</v>
      </c>
      <c r="D9" s="3" t="s">
        <v>28</v>
      </c>
      <c r="E9" s="3" t="s">
        <v>29</v>
      </c>
    </row>
    <row r="10" spans="2:5" ht="28.7" x14ac:dyDescent="0.5">
      <c r="B10" s="14" t="s">
        <v>30</v>
      </c>
      <c r="C10" s="3" t="s">
        <v>31</v>
      </c>
      <c r="D10" s="3" t="s">
        <v>32</v>
      </c>
      <c r="E10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50C6-5DC2-4963-BFCD-0BCDB2EC6304}">
  <sheetPr codeName="Sheet3"/>
  <dimension ref="A1:E2"/>
  <sheetViews>
    <sheetView workbookViewId="0"/>
  </sheetViews>
  <sheetFormatPr defaultRowHeight="14.35" x14ac:dyDescent="0.5"/>
  <sheetData>
    <row r="1" spans="1:5" x14ac:dyDescent="0.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5">
      <c r="A2">
        <f>COUNT(#REF!)</f>
        <v>0</v>
      </c>
      <c r="B2">
        <v>7</v>
      </c>
      <c r="C2">
        <v>1</v>
      </c>
      <c r="D2">
        <v>0</v>
      </c>
      <c r="E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CEC3-100F-4CEC-8B6C-1A7212201D6A}">
  <sheetPr codeName="Sheet4"/>
  <dimension ref="B2:D22"/>
  <sheetViews>
    <sheetView topLeftCell="A2" workbookViewId="0">
      <selection activeCell="C28" sqref="C28"/>
    </sheetView>
  </sheetViews>
  <sheetFormatPr defaultRowHeight="14.35" x14ac:dyDescent="0.5"/>
  <cols>
    <col min="2" max="2" width="5.234375" style="4" bestFit="1" customWidth="1"/>
    <col min="3" max="3" width="22.52734375" style="11" bestFit="1" customWidth="1"/>
    <col min="4" max="4" width="66.87890625" style="11" bestFit="1" customWidth="1"/>
  </cols>
  <sheetData>
    <row r="2" spans="2:4" x14ac:dyDescent="0.5">
      <c r="B2"/>
      <c r="C2" s="5"/>
      <c r="D2" s="5"/>
    </row>
    <row r="3" spans="2:4" x14ac:dyDescent="0.5">
      <c r="B3" s="20" t="s">
        <v>47</v>
      </c>
      <c r="C3" s="15" t="s">
        <v>133</v>
      </c>
      <c r="D3" s="15" t="s">
        <v>134</v>
      </c>
    </row>
    <row r="4" spans="2:4" x14ac:dyDescent="0.5">
      <c r="B4" s="1" t="s">
        <v>48</v>
      </c>
      <c r="C4" s="21" t="s">
        <v>70</v>
      </c>
      <c r="D4" s="22" t="s">
        <v>127</v>
      </c>
    </row>
    <row r="5" spans="2:4" x14ac:dyDescent="0.5">
      <c r="B5" s="1" t="s">
        <v>49</v>
      </c>
      <c r="C5" s="21" t="s">
        <v>50</v>
      </c>
      <c r="D5" s="22" t="s">
        <v>129</v>
      </c>
    </row>
    <row r="6" spans="2:4" x14ac:dyDescent="0.5">
      <c r="B6" s="1" t="s">
        <v>51</v>
      </c>
      <c r="C6" s="21" t="s">
        <v>52</v>
      </c>
      <c r="D6" s="22" t="s">
        <v>130</v>
      </c>
    </row>
    <row r="7" spans="2:4" ht="28.7" x14ac:dyDescent="0.5">
      <c r="B7" s="1" t="s">
        <v>53</v>
      </c>
      <c r="C7" s="21" t="s">
        <v>439</v>
      </c>
      <c r="D7" s="22" t="s">
        <v>455</v>
      </c>
    </row>
    <row r="8" spans="2:4" x14ac:dyDescent="0.5">
      <c r="B8" s="1" t="s">
        <v>54</v>
      </c>
      <c r="C8" s="21" t="s">
        <v>97</v>
      </c>
      <c r="D8" s="22" t="s">
        <v>454</v>
      </c>
    </row>
    <row r="9" spans="2:4" x14ac:dyDescent="0.5">
      <c r="B9" s="1" t="s">
        <v>55</v>
      </c>
      <c r="C9" s="21" t="s">
        <v>94</v>
      </c>
      <c r="D9" s="22" t="s">
        <v>453</v>
      </c>
    </row>
    <row r="10" spans="2:4" x14ac:dyDescent="0.5">
      <c r="B10" s="1" t="s">
        <v>56</v>
      </c>
      <c r="C10" s="21" t="s">
        <v>57</v>
      </c>
      <c r="D10" s="22" t="s">
        <v>131</v>
      </c>
    </row>
    <row r="11" spans="2:4" x14ac:dyDescent="0.5">
      <c r="B11" s="1" t="s">
        <v>58</v>
      </c>
      <c r="C11" s="21" t="s">
        <v>59</v>
      </c>
      <c r="D11" s="22" t="s">
        <v>452</v>
      </c>
    </row>
    <row r="12" spans="2:4" ht="28.7" x14ac:dyDescent="0.5">
      <c r="B12" s="1" t="s">
        <v>60</v>
      </c>
      <c r="C12" s="21" t="s">
        <v>440</v>
      </c>
      <c r="D12" s="22" t="s">
        <v>451</v>
      </c>
    </row>
    <row r="13" spans="2:4" x14ac:dyDescent="0.5">
      <c r="B13" s="1" t="s">
        <v>61</v>
      </c>
      <c r="C13" s="21" t="s">
        <v>441</v>
      </c>
      <c r="D13" s="22" t="s">
        <v>450</v>
      </c>
    </row>
    <row r="14" spans="2:4" ht="28.7" x14ac:dyDescent="0.5">
      <c r="B14" s="1" t="s">
        <v>62</v>
      </c>
      <c r="C14" s="21" t="s">
        <v>125</v>
      </c>
      <c r="D14" s="22" t="s">
        <v>128</v>
      </c>
    </row>
    <row r="15" spans="2:4" ht="28.7" x14ac:dyDescent="0.5">
      <c r="B15" s="1" t="s">
        <v>63</v>
      </c>
      <c r="C15" s="21" t="s">
        <v>124</v>
      </c>
      <c r="D15" s="22" t="s">
        <v>469</v>
      </c>
    </row>
    <row r="16" spans="2:4" ht="28.7" x14ac:dyDescent="0.5">
      <c r="B16" s="1" t="s">
        <v>64</v>
      </c>
      <c r="C16" s="21" t="s">
        <v>126</v>
      </c>
      <c r="D16" s="22" t="s">
        <v>449</v>
      </c>
    </row>
    <row r="17" spans="2:4" ht="28.7" x14ac:dyDescent="0.5">
      <c r="B17" s="1" t="s">
        <v>65</v>
      </c>
      <c r="C17" s="21" t="s">
        <v>442</v>
      </c>
      <c r="D17" s="22" t="s">
        <v>448</v>
      </c>
    </row>
    <row r="18" spans="2:4" x14ac:dyDescent="0.5">
      <c r="B18" s="1" t="s">
        <v>66</v>
      </c>
      <c r="C18" s="21" t="s">
        <v>387</v>
      </c>
      <c r="D18" s="22" t="s">
        <v>132</v>
      </c>
    </row>
    <row r="19" spans="2:4" x14ac:dyDescent="0.5">
      <c r="B19" s="1" t="s">
        <v>67</v>
      </c>
      <c r="C19" s="21" t="s">
        <v>96</v>
      </c>
      <c r="D19" s="22" t="s">
        <v>447</v>
      </c>
    </row>
    <row r="20" spans="2:4" x14ac:dyDescent="0.5">
      <c r="B20" s="1" t="s">
        <v>68</v>
      </c>
      <c r="C20" s="21" t="s">
        <v>443</v>
      </c>
      <c r="D20" s="22" t="s">
        <v>446</v>
      </c>
    </row>
    <row r="21" spans="2:4" x14ac:dyDescent="0.5">
      <c r="B21" s="1" t="s">
        <v>93</v>
      </c>
      <c r="C21" s="21" t="s">
        <v>123</v>
      </c>
      <c r="D21" s="22" t="s">
        <v>445</v>
      </c>
    </row>
    <row r="22" spans="2:4" x14ac:dyDescent="0.5">
      <c r="B22" s="1" t="s">
        <v>95</v>
      </c>
      <c r="C22" s="21" t="s">
        <v>69</v>
      </c>
      <c r="D22" s="22" t="s">
        <v>444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3ED9-08EA-4E36-879F-3CC35BE7D792}">
  <sheetPr codeName="Sheet5"/>
  <dimension ref="B2:D5"/>
  <sheetViews>
    <sheetView workbookViewId="0">
      <selection activeCell="D1" sqref="D1"/>
    </sheetView>
  </sheetViews>
  <sheetFormatPr defaultRowHeight="14.35" x14ac:dyDescent="0.5"/>
  <cols>
    <col min="2" max="2" width="6.87890625" bestFit="1" customWidth="1"/>
    <col min="3" max="3" width="17.1171875" bestFit="1" customWidth="1"/>
    <col min="4" max="4" width="33" bestFit="1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ht="28.7" x14ac:dyDescent="0.5">
      <c r="B3" s="16" t="s">
        <v>71</v>
      </c>
      <c r="C3" s="17" t="s">
        <v>135</v>
      </c>
      <c r="D3" s="19" t="s">
        <v>458</v>
      </c>
    </row>
    <row r="4" spans="2:4" ht="28.7" x14ac:dyDescent="0.5">
      <c r="B4" s="16" t="s">
        <v>72</v>
      </c>
      <c r="C4" s="17" t="s">
        <v>456</v>
      </c>
      <c r="D4" s="19" t="s">
        <v>459</v>
      </c>
    </row>
    <row r="5" spans="2:4" ht="28.7" x14ac:dyDescent="0.5">
      <c r="B5" s="16" t="s">
        <v>73</v>
      </c>
      <c r="C5" s="17" t="s">
        <v>457</v>
      </c>
      <c r="D5" s="19" t="s">
        <v>460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5D8B-7458-4955-B93B-304A7BDD4EE4}">
  <sheetPr codeName="Sheet6"/>
  <dimension ref="B2:D14"/>
  <sheetViews>
    <sheetView topLeftCell="B1" workbookViewId="0">
      <selection activeCell="D27" sqref="D27"/>
    </sheetView>
  </sheetViews>
  <sheetFormatPr defaultRowHeight="14.35" x14ac:dyDescent="0.5"/>
  <cols>
    <col min="2" max="2" width="6.5859375" bestFit="1" customWidth="1"/>
    <col min="3" max="3" width="22.87890625" bestFit="1" customWidth="1"/>
    <col min="4" max="4" width="59.8203125" bestFit="1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x14ac:dyDescent="0.5">
      <c r="B3" s="16" t="s">
        <v>74</v>
      </c>
      <c r="C3" s="17" t="s">
        <v>137</v>
      </c>
      <c r="D3" s="19" t="s">
        <v>463</v>
      </c>
    </row>
    <row r="4" spans="2:4" x14ac:dyDescent="0.5">
      <c r="B4" s="16" t="s">
        <v>75</v>
      </c>
      <c r="C4" s="17" t="s">
        <v>138</v>
      </c>
      <c r="D4" s="19" t="s">
        <v>464</v>
      </c>
    </row>
    <row r="5" spans="2:4" x14ac:dyDescent="0.5">
      <c r="B5" s="16" t="s">
        <v>76</v>
      </c>
      <c r="C5" s="17" t="s">
        <v>139</v>
      </c>
      <c r="D5" s="19" t="s">
        <v>465</v>
      </c>
    </row>
    <row r="6" spans="2:4" x14ac:dyDescent="0.5">
      <c r="B6" s="16" t="s">
        <v>77</v>
      </c>
      <c r="C6" s="17" t="s">
        <v>140</v>
      </c>
      <c r="D6" s="19" t="s">
        <v>141</v>
      </c>
    </row>
    <row r="7" spans="2:4" x14ac:dyDescent="0.5">
      <c r="B7" s="16" t="s">
        <v>78</v>
      </c>
      <c r="C7" s="17" t="s">
        <v>142</v>
      </c>
      <c r="D7" s="19" t="s">
        <v>143</v>
      </c>
    </row>
    <row r="8" spans="2:4" x14ac:dyDescent="0.5">
      <c r="B8" s="16" t="s">
        <v>79</v>
      </c>
      <c r="C8" s="17" t="s">
        <v>144</v>
      </c>
      <c r="D8" s="19" t="s">
        <v>145</v>
      </c>
    </row>
    <row r="9" spans="2:4" x14ac:dyDescent="0.5">
      <c r="B9" s="16" t="s">
        <v>80</v>
      </c>
      <c r="C9" s="17" t="s">
        <v>136</v>
      </c>
      <c r="D9" s="19" t="s">
        <v>150</v>
      </c>
    </row>
    <row r="10" spans="2:4" x14ac:dyDescent="0.5">
      <c r="B10" s="16" t="s">
        <v>81</v>
      </c>
      <c r="C10" s="17" t="s">
        <v>146</v>
      </c>
      <c r="D10" s="19" t="s">
        <v>148</v>
      </c>
    </row>
    <row r="11" spans="2:4" ht="28.7" x14ac:dyDescent="0.5">
      <c r="B11" s="16" t="s">
        <v>82</v>
      </c>
      <c r="C11" s="17" t="s">
        <v>461</v>
      </c>
      <c r="D11" s="19" t="s">
        <v>466</v>
      </c>
    </row>
    <row r="12" spans="2:4" x14ac:dyDescent="0.5">
      <c r="B12" s="16" t="s">
        <v>84</v>
      </c>
      <c r="C12" s="17" t="s">
        <v>147</v>
      </c>
      <c r="D12" s="19" t="s">
        <v>149</v>
      </c>
    </row>
    <row r="13" spans="2:4" x14ac:dyDescent="0.5">
      <c r="B13" s="16" t="s">
        <v>85</v>
      </c>
      <c r="C13" s="17" t="s">
        <v>83</v>
      </c>
      <c r="D13" s="19" t="s">
        <v>467</v>
      </c>
    </row>
    <row r="14" spans="2:4" x14ac:dyDescent="0.5">
      <c r="B14" s="16" t="s">
        <v>86</v>
      </c>
      <c r="C14" s="17" t="s">
        <v>462</v>
      </c>
      <c r="D14" s="19" t="s">
        <v>468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5B55-F186-43C3-AB87-BB44DA7F5D90}">
  <sheetPr codeName="Sheet7"/>
  <dimension ref="B2:D5"/>
  <sheetViews>
    <sheetView workbookViewId="0">
      <selection activeCell="D6" sqref="D6"/>
    </sheetView>
  </sheetViews>
  <sheetFormatPr defaultRowHeight="14.35" x14ac:dyDescent="0.5"/>
  <cols>
    <col min="2" max="2" width="6.5859375" bestFit="1" customWidth="1"/>
    <col min="3" max="3" width="18.64453125" customWidth="1"/>
    <col min="4" max="4" width="56.8203125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ht="28.7" x14ac:dyDescent="0.5">
      <c r="B3" s="16" t="s">
        <v>87</v>
      </c>
      <c r="C3" s="17" t="s">
        <v>88</v>
      </c>
      <c r="D3" s="18" t="s">
        <v>470</v>
      </c>
    </row>
    <row r="4" spans="2:4" ht="28.7" x14ac:dyDescent="0.5">
      <c r="B4" s="16" t="s">
        <v>89</v>
      </c>
      <c r="C4" s="17" t="s">
        <v>90</v>
      </c>
      <c r="D4" s="18" t="s">
        <v>471</v>
      </c>
    </row>
    <row r="5" spans="2:4" x14ac:dyDescent="0.5">
      <c r="B5" s="16" t="s">
        <v>91</v>
      </c>
      <c r="C5" s="17" t="s">
        <v>92</v>
      </c>
      <c r="D5" s="18" t="s">
        <v>472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F55D-1910-4E5E-B92D-6CA5DEB9043F}">
  <sheetPr codeName="Sheet2"/>
  <dimension ref="B2:E7"/>
  <sheetViews>
    <sheetView workbookViewId="0">
      <selection activeCell="C15" sqref="C15"/>
    </sheetView>
  </sheetViews>
  <sheetFormatPr defaultRowHeight="14.35" x14ac:dyDescent="0.5"/>
  <cols>
    <col min="2" max="2" width="12.76171875" style="4" bestFit="1" customWidth="1"/>
    <col min="3" max="3" width="40.1171875" style="4" bestFit="1" customWidth="1"/>
    <col min="4" max="4" width="13.05859375" style="4" bestFit="1" customWidth="1"/>
    <col min="5" max="5" width="12.46875" style="4" bestFit="1" customWidth="1"/>
  </cols>
  <sheetData>
    <row r="2" spans="2:5" x14ac:dyDescent="0.5">
      <c r="B2" s="12" t="s">
        <v>152</v>
      </c>
      <c r="C2" s="13" t="s">
        <v>40</v>
      </c>
      <c r="D2" s="12" t="s">
        <v>41</v>
      </c>
      <c r="E2" s="13" t="s">
        <v>153</v>
      </c>
    </row>
    <row r="3" spans="2:5" ht="57.35" x14ac:dyDescent="0.5">
      <c r="B3" s="14" t="s">
        <v>34</v>
      </c>
      <c r="C3" s="11" t="s">
        <v>174</v>
      </c>
      <c r="D3" s="11" t="s">
        <v>119</v>
      </c>
      <c r="E3" s="11" t="s">
        <v>35</v>
      </c>
    </row>
    <row r="4" spans="2:5" ht="43" x14ac:dyDescent="0.5">
      <c r="B4" s="14" t="s">
        <v>36</v>
      </c>
      <c r="C4" s="11" t="s">
        <v>120</v>
      </c>
      <c r="D4" s="11" t="s">
        <v>119</v>
      </c>
      <c r="E4" s="11" t="s">
        <v>35</v>
      </c>
    </row>
    <row r="5" spans="2:5" ht="86" x14ac:dyDescent="0.5">
      <c r="B5" s="14" t="s">
        <v>37</v>
      </c>
      <c r="C5" s="11" t="s">
        <v>121</v>
      </c>
      <c r="D5" s="11" t="s">
        <v>119</v>
      </c>
      <c r="E5" s="11" t="s">
        <v>35</v>
      </c>
    </row>
    <row r="6" spans="2:5" ht="43" x14ac:dyDescent="0.5">
      <c r="B6" s="14" t="s">
        <v>307</v>
      </c>
      <c r="C6" s="11" t="s">
        <v>175</v>
      </c>
      <c r="D6" s="11" t="s">
        <v>119</v>
      </c>
      <c r="E6" s="11" t="s">
        <v>35</v>
      </c>
    </row>
    <row r="7" spans="2:5" ht="43" x14ac:dyDescent="0.5">
      <c r="B7" s="14" t="s">
        <v>388</v>
      </c>
      <c r="C7" s="11" t="s">
        <v>122</v>
      </c>
      <c r="D7" s="11" t="s">
        <v>119</v>
      </c>
      <c r="E7" s="11" t="s">
        <v>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44CC-2F0E-4915-8EF3-6B2EE1DBE933}">
  <dimension ref="C3:D6"/>
  <sheetViews>
    <sheetView workbookViewId="0">
      <selection activeCell="D14" sqref="D14"/>
    </sheetView>
  </sheetViews>
  <sheetFormatPr defaultRowHeight="14.35" x14ac:dyDescent="0.5"/>
  <cols>
    <col min="3" max="3" width="6.87890625" bestFit="1" customWidth="1"/>
    <col min="4" max="4" width="78.87890625" bestFit="1" customWidth="1"/>
  </cols>
  <sheetData>
    <row r="3" spans="3:4" x14ac:dyDescent="0.5">
      <c r="C3" s="2" t="s">
        <v>47</v>
      </c>
      <c r="D3" s="2" t="s">
        <v>134</v>
      </c>
    </row>
    <row r="4" spans="3:4" x14ac:dyDescent="0.5">
      <c r="C4" s="2" t="s">
        <v>473</v>
      </c>
      <c r="D4" s="2" t="s">
        <v>476</v>
      </c>
    </row>
    <row r="5" spans="3:4" x14ac:dyDescent="0.5">
      <c r="C5" s="2" t="s">
        <v>474</v>
      </c>
      <c r="D5" s="2" t="s">
        <v>477</v>
      </c>
    </row>
    <row r="6" spans="3:4" x14ac:dyDescent="0.5">
      <c r="C6" s="2" t="s">
        <v>475</v>
      </c>
      <c r="D6" s="2" t="s">
        <v>478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2782-A073-48B5-9493-72D82FD02CA5}">
  <dimension ref="C3:E7"/>
  <sheetViews>
    <sheetView workbookViewId="0">
      <selection activeCell="G6" sqref="G6"/>
    </sheetView>
  </sheetViews>
  <sheetFormatPr defaultRowHeight="14.35" x14ac:dyDescent="0.5"/>
  <cols>
    <col min="3" max="3" width="12.52734375" style="2" bestFit="1" customWidth="1"/>
    <col min="4" max="4" width="52.3515625" style="5" customWidth="1"/>
    <col min="5" max="5" width="8.9375" style="2"/>
  </cols>
  <sheetData>
    <row r="3" spans="3:4" x14ac:dyDescent="0.5">
      <c r="C3" s="2" t="s">
        <v>483</v>
      </c>
      <c r="D3" s="5" t="s">
        <v>134</v>
      </c>
    </row>
    <row r="4" spans="3:4" ht="28.7" x14ac:dyDescent="0.5">
      <c r="C4" s="2" t="s">
        <v>484</v>
      </c>
      <c r="D4" s="5" t="s">
        <v>487</v>
      </c>
    </row>
    <row r="5" spans="3:4" ht="28.7" x14ac:dyDescent="0.5">
      <c r="C5" s="2" t="s">
        <v>485</v>
      </c>
      <c r="D5" s="5" t="s">
        <v>488</v>
      </c>
    </row>
    <row r="6" spans="3:4" ht="28.7" x14ac:dyDescent="0.5">
      <c r="C6" s="2" t="s">
        <v>486</v>
      </c>
      <c r="D6" s="5" t="s">
        <v>489</v>
      </c>
    </row>
    <row r="7" spans="3:4" ht="28.7" x14ac:dyDescent="0.5">
      <c r="C7" s="2" t="s">
        <v>117</v>
      </c>
      <c r="D7" s="5" t="s">
        <v>490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3F7A-9EBB-45CA-B779-026363CC5DFB}">
  <dimension ref="B2:E13"/>
  <sheetViews>
    <sheetView workbookViewId="0">
      <selection activeCell="B2" sqref="B2:E13"/>
    </sheetView>
  </sheetViews>
  <sheetFormatPr defaultRowHeight="14.35" x14ac:dyDescent="0.5"/>
  <cols>
    <col min="2" max="2" width="6.87890625" style="2" bestFit="1" customWidth="1"/>
    <col min="3" max="3" width="9.05859375" style="2" bestFit="1" customWidth="1"/>
    <col min="4" max="4" width="15.87890625" style="2" bestFit="1" customWidth="1"/>
    <col min="5" max="5" width="57.52734375" style="44" bestFit="1" customWidth="1"/>
  </cols>
  <sheetData>
    <row r="2" spans="2:5" x14ac:dyDescent="0.5">
      <c r="B2" s="2" t="s">
        <v>47</v>
      </c>
      <c r="C2" s="2" t="s">
        <v>404</v>
      </c>
      <c r="D2" s="2" t="s">
        <v>491</v>
      </c>
      <c r="E2" s="47" t="s">
        <v>134</v>
      </c>
    </row>
    <row r="3" spans="2:5" x14ac:dyDescent="0.5">
      <c r="B3" s="2" t="s">
        <v>195</v>
      </c>
      <c r="C3" s="2" t="s">
        <v>492</v>
      </c>
      <c r="D3" s="8" t="s">
        <v>494</v>
      </c>
      <c r="E3" s="44" t="s">
        <v>505</v>
      </c>
    </row>
    <row r="4" spans="2:5" x14ac:dyDescent="0.5">
      <c r="B4" s="2" t="s">
        <v>198</v>
      </c>
      <c r="C4" s="2" t="s">
        <v>492</v>
      </c>
      <c r="D4" s="8" t="s">
        <v>495</v>
      </c>
      <c r="E4" s="44" t="s">
        <v>506</v>
      </c>
    </row>
    <row r="5" spans="2:5" x14ac:dyDescent="0.5">
      <c r="B5" s="2" t="s">
        <v>210</v>
      </c>
      <c r="C5" s="2" t="s">
        <v>492</v>
      </c>
      <c r="D5" s="8" t="s">
        <v>496</v>
      </c>
      <c r="E5" s="44" t="s">
        <v>507</v>
      </c>
    </row>
    <row r="6" spans="2:5" ht="28.7" x14ac:dyDescent="0.5">
      <c r="B6" s="2" t="s">
        <v>227</v>
      </c>
      <c r="C6" s="2" t="s">
        <v>492</v>
      </c>
      <c r="D6" s="8" t="s">
        <v>497</v>
      </c>
      <c r="E6" s="44" t="s">
        <v>508</v>
      </c>
    </row>
    <row r="7" spans="2:5" x14ac:dyDescent="0.5">
      <c r="B7" s="2" t="s">
        <v>231</v>
      </c>
      <c r="C7" s="2" t="s">
        <v>492</v>
      </c>
      <c r="D7" s="8" t="s">
        <v>498</v>
      </c>
      <c r="E7" s="44" t="s">
        <v>509</v>
      </c>
    </row>
    <row r="8" spans="2:5" x14ac:dyDescent="0.5">
      <c r="B8" s="2" t="s">
        <v>213</v>
      </c>
      <c r="C8" s="2" t="s">
        <v>493</v>
      </c>
      <c r="D8" s="8" t="s">
        <v>499</v>
      </c>
      <c r="E8" s="44" t="s">
        <v>510</v>
      </c>
    </row>
    <row r="9" spans="2:5" x14ac:dyDescent="0.5">
      <c r="B9" s="2" t="s">
        <v>217</v>
      </c>
      <c r="C9" s="2" t="s">
        <v>493</v>
      </c>
      <c r="D9" s="8" t="s">
        <v>500</v>
      </c>
      <c r="E9" s="44" t="s">
        <v>511</v>
      </c>
    </row>
    <row r="10" spans="2:5" x14ac:dyDescent="0.5">
      <c r="B10" s="2" t="s">
        <v>220</v>
      </c>
      <c r="C10" s="2" t="s">
        <v>493</v>
      </c>
      <c r="D10" s="8" t="s">
        <v>501</v>
      </c>
      <c r="E10" s="44" t="s">
        <v>512</v>
      </c>
    </row>
    <row r="11" spans="2:5" x14ac:dyDescent="0.5">
      <c r="B11" s="2" t="s">
        <v>224</v>
      </c>
      <c r="C11" s="2" t="s">
        <v>493</v>
      </c>
      <c r="D11" s="8" t="s">
        <v>502</v>
      </c>
      <c r="E11" s="44" t="s">
        <v>513</v>
      </c>
    </row>
    <row r="12" spans="2:5" x14ac:dyDescent="0.5">
      <c r="B12" s="2" t="s">
        <v>206</v>
      </c>
      <c r="C12" s="2" t="s">
        <v>493</v>
      </c>
      <c r="D12" s="8" t="s">
        <v>503</v>
      </c>
      <c r="E12" s="44" t="s">
        <v>514</v>
      </c>
    </row>
    <row r="13" spans="2:5" x14ac:dyDescent="0.5">
      <c r="B13" s="2" t="s">
        <v>202</v>
      </c>
      <c r="C13" s="2" t="s">
        <v>493</v>
      </c>
      <c r="D13" s="8" t="s">
        <v>504</v>
      </c>
      <c r="E13" s="44" t="s">
        <v>515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0030-0908-4EA9-ACE3-244C5A412F97}">
  <dimension ref="B3:E19"/>
  <sheetViews>
    <sheetView topLeftCell="A7" workbookViewId="0">
      <selection activeCell="E19" sqref="E19"/>
    </sheetView>
  </sheetViews>
  <sheetFormatPr defaultRowHeight="14.35" x14ac:dyDescent="0.5"/>
  <cols>
    <col min="2" max="2" width="6.87890625" bestFit="1" customWidth="1"/>
    <col min="3" max="3" width="9.05859375" bestFit="1" customWidth="1"/>
    <col min="4" max="4" width="15.87890625" bestFit="1" customWidth="1"/>
    <col min="5" max="5" width="36.87890625" bestFit="1" customWidth="1"/>
    <col min="6" max="6" width="38.234375" customWidth="1"/>
  </cols>
  <sheetData>
    <row r="3" spans="2:5" x14ac:dyDescent="0.5">
      <c r="B3" s="2" t="s">
        <v>47</v>
      </c>
      <c r="C3" s="2" t="s">
        <v>404</v>
      </c>
      <c r="D3" s="2" t="s">
        <v>491</v>
      </c>
      <c r="E3" s="47" t="s">
        <v>134</v>
      </c>
    </row>
    <row r="4" spans="2:5" x14ac:dyDescent="0.5">
      <c r="B4" s="2" t="s">
        <v>516</v>
      </c>
      <c r="C4" s="2" t="s">
        <v>531</v>
      </c>
      <c r="D4" s="8" t="s">
        <v>102</v>
      </c>
      <c r="E4" s="44" t="s">
        <v>547</v>
      </c>
    </row>
    <row r="5" spans="2:5" x14ac:dyDescent="0.5">
      <c r="B5" s="2" t="s">
        <v>517</v>
      </c>
      <c r="C5" s="2" t="s">
        <v>531</v>
      </c>
      <c r="D5" s="8" t="s">
        <v>533</v>
      </c>
      <c r="E5" s="44" t="s">
        <v>548</v>
      </c>
    </row>
    <row r="6" spans="2:5" x14ac:dyDescent="0.5">
      <c r="B6" s="2" t="s">
        <v>518</v>
      </c>
      <c r="C6" s="2" t="s">
        <v>531</v>
      </c>
      <c r="D6" s="8" t="s">
        <v>534</v>
      </c>
      <c r="E6" s="44" t="s">
        <v>549</v>
      </c>
    </row>
    <row r="7" spans="2:5" x14ac:dyDescent="0.5">
      <c r="B7" s="2" t="s">
        <v>519</v>
      </c>
      <c r="C7" s="2" t="s">
        <v>531</v>
      </c>
      <c r="D7" s="8" t="s">
        <v>535</v>
      </c>
      <c r="E7" s="44" t="s">
        <v>550</v>
      </c>
    </row>
    <row r="8" spans="2:5" x14ac:dyDescent="0.5">
      <c r="B8" s="2" t="s">
        <v>520</v>
      </c>
      <c r="C8" s="2" t="s">
        <v>531</v>
      </c>
      <c r="D8" s="8" t="s">
        <v>536</v>
      </c>
      <c r="E8" s="44" t="s">
        <v>551</v>
      </c>
    </row>
    <row r="9" spans="2:5" x14ac:dyDescent="0.5">
      <c r="B9" s="2" t="s">
        <v>521</v>
      </c>
      <c r="C9" s="2" t="s">
        <v>531</v>
      </c>
      <c r="D9" s="8" t="s">
        <v>115</v>
      </c>
      <c r="E9" s="44" t="s">
        <v>552</v>
      </c>
    </row>
    <row r="10" spans="2:5" x14ac:dyDescent="0.5">
      <c r="B10" s="2" t="s">
        <v>522</v>
      </c>
      <c r="C10" s="2" t="s">
        <v>531</v>
      </c>
      <c r="D10" s="8" t="s">
        <v>537</v>
      </c>
      <c r="E10" s="44" t="s">
        <v>553</v>
      </c>
    </row>
    <row r="11" spans="2:5" x14ac:dyDescent="0.5">
      <c r="B11" s="2" t="s">
        <v>523</v>
      </c>
      <c r="C11" s="2" t="s">
        <v>531</v>
      </c>
      <c r="D11" s="8" t="s">
        <v>538</v>
      </c>
      <c r="E11" s="44" t="s">
        <v>554</v>
      </c>
    </row>
    <row r="12" spans="2:5" x14ac:dyDescent="0.5">
      <c r="B12" s="2" t="s">
        <v>524</v>
      </c>
      <c r="C12" s="2" t="s">
        <v>531</v>
      </c>
      <c r="D12" s="8" t="s">
        <v>539</v>
      </c>
      <c r="E12" s="44" t="s">
        <v>555</v>
      </c>
    </row>
    <row r="13" spans="2:5" x14ac:dyDescent="0.5">
      <c r="B13" s="2" t="s">
        <v>242</v>
      </c>
      <c r="C13" s="2" t="s">
        <v>531</v>
      </c>
      <c r="D13" s="8" t="s">
        <v>540</v>
      </c>
      <c r="E13" s="44" t="s">
        <v>556</v>
      </c>
    </row>
    <row r="14" spans="2:5" x14ac:dyDescent="0.5">
      <c r="B14" s="2" t="s">
        <v>525</v>
      </c>
      <c r="C14" s="2" t="s">
        <v>532</v>
      </c>
      <c r="D14" s="8" t="s">
        <v>541</v>
      </c>
      <c r="E14" s="44" t="s">
        <v>557</v>
      </c>
    </row>
    <row r="15" spans="2:5" x14ac:dyDescent="0.5">
      <c r="B15" s="2" t="s">
        <v>526</v>
      </c>
      <c r="C15" s="2" t="s">
        <v>532</v>
      </c>
      <c r="D15" s="8" t="s">
        <v>542</v>
      </c>
      <c r="E15" s="44" t="s">
        <v>558</v>
      </c>
    </row>
    <row r="16" spans="2:5" x14ac:dyDescent="0.5">
      <c r="B16" s="2" t="s">
        <v>527</v>
      </c>
      <c r="C16" s="2" t="s">
        <v>532</v>
      </c>
      <c r="D16" s="8" t="s">
        <v>543</v>
      </c>
      <c r="E16" s="44" t="s">
        <v>559</v>
      </c>
    </row>
    <row r="17" spans="2:5" x14ac:dyDescent="0.5">
      <c r="B17" s="2" t="s">
        <v>528</v>
      </c>
      <c r="C17" s="2" t="s">
        <v>532</v>
      </c>
      <c r="D17" s="8" t="s">
        <v>544</v>
      </c>
      <c r="E17" s="44" t="s">
        <v>560</v>
      </c>
    </row>
    <row r="18" spans="2:5" x14ac:dyDescent="0.5">
      <c r="B18" s="2" t="s">
        <v>529</v>
      </c>
      <c r="C18" s="2" t="s">
        <v>532</v>
      </c>
      <c r="D18" s="8" t="s">
        <v>545</v>
      </c>
      <c r="E18" s="44" t="s">
        <v>561</v>
      </c>
    </row>
    <row r="19" spans="2:5" x14ac:dyDescent="0.5">
      <c r="B19" s="2" t="s">
        <v>530</v>
      </c>
      <c r="C19" s="2" t="s">
        <v>532</v>
      </c>
      <c r="D19" s="8" t="s">
        <v>546</v>
      </c>
      <c r="E19" s="44" t="s">
        <v>562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A2BD-701F-4E09-967F-9A39169E5372}">
  <sheetPr codeName="Sheet14"/>
  <dimension ref="B2:D6"/>
  <sheetViews>
    <sheetView workbookViewId="0">
      <selection activeCell="D18" sqref="D18"/>
    </sheetView>
  </sheetViews>
  <sheetFormatPr defaultRowHeight="14.35" x14ac:dyDescent="0.5"/>
  <cols>
    <col min="3" max="3" width="13.9375" bestFit="1" customWidth="1"/>
    <col min="4" max="4" width="80.46875" customWidth="1"/>
  </cols>
  <sheetData>
    <row r="2" spans="2:4" x14ac:dyDescent="0.5">
      <c r="B2" s="2" t="s">
        <v>47</v>
      </c>
      <c r="C2" s="5" t="s">
        <v>151</v>
      </c>
      <c r="D2" s="5" t="s">
        <v>134</v>
      </c>
    </row>
    <row r="3" spans="2:4" ht="28.7" x14ac:dyDescent="0.5">
      <c r="B3" s="2" t="s">
        <v>110</v>
      </c>
      <c r="C3" s="6" t="s">
        <v>111</v>
      </c>
      <c r="D3" s="5" t="s">
        <v>479</v>
      </c>
    </row>
    <row r="4" spans="2:4" x14ac:dyDescent="0.5">
      <c r="B4" s="2" t="s">
        <v>112</v>
      </c>
      <c r="C4" s="6" t="s">
        <v>113</v>
      </c>
      <c r="D4" s="5" t="s">
        <v>480</v>
      </c>
    </row>
    <row r="5" spans="2:4" x14ac:dyDescent="0.5">
      <c r="B5" s="2" t="s">
        <v>114</v>
      </c>
      <c r="C5" s="6" t="s">
        <v>115</v>
      </c>
      <c r="D5" s="5" t="s">
        <v>481</v>
      </c>
    </row>
    <row r="6" spans="2:4" x14ac:dyDescent="0.5">
      <c r="B6" s="2" t="s">
        <v>116</v>
      </c>
      <c r="C6" s="6" t="s">
        <v>117</v>
      </c>
      <c r="D6" s="5" t="s">
        <v>482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990-29D7-4552-A512-4E534215B50C}">
  <dimension ref="B4:D10"/>
  <sheetViews>
    <sheetView workbookViewId="0">
      <selection activeCell="D19" sqref="D19"/>
    </sheetView>
  </sheetViews>
  <sheetFormatPr defaultRowHeight="14.35" x14ac:dyDescent="0.5"/>
  <cols>
    <col min="2" max="2" width="8.9375" style="2"/>
    <col min="3" max="3" width="13" style="2" bestFit="1" customWidth="1"/>
    <col min="4" max="4" width="57.41015625" style="2" customWidth="1"/>
  </cols>
  <sheetData>
    <row r="4" spans="2:4" x14ac:dyDescent="0.5">
      <c r="B4" s="2" t="s">
        <v>47</v>
      </c>
      <c r="C4" s="2" t="s">
        <v>563</v>
      </c>
      <c r="D4" s="2" t="s">
        <v>134</v>
      </c>
    </row>
    <row r="5" spans="2:4" x14ac:dyDescent="0.5">
      <c r="B5" s="2" t="s">
        <v>252</v>
      </c>
      <c r="C5" s="8" t="s">
        <v>564</v>
      </c>
      <c r="D5" s="5" t="s">
        <v>568</v>
      </c>
    </row>
    <row r="6" spans="2:4" x14ac:dyDescent="0.5">
      <c r="B6" s="2" t="s">
        <v>253</v>
      </c>
      <c r="C6" s="8" t="s">
        <v>565</v>
      </c>
      <c r="D6" s="5" t="s">
        <v>569</v>
      </c>
    </row>
    <row r="7" spans="2:4" ht="28.7" x14ac:dyDescent="0.5">
      <c r="B7" s="2" t="s">
        <v>254</v>
      </c>
      <c r="C7" s="8" t="s">
        <v>566</v>
      </c>
      <c r="D7" s="5" t="s">
        <v>570</v>
      </c>
    </row>
    <row r="8" spans="2:4" ht="28.7" x14ac:dyDescent="0.5">
      <c r="B8" s="2" t="s">
        <v>255</v>
      </c>
      <c r="C8" s="8" t="s">
        <v>536</v>
      </c>
      <c r="D8" s="5" t="s">
        <v>571</v>
      </c>
    </row>
    <row r="9" spans="2:4" ht="28.7" x14ac:dyDescent="0.5">
      <c r="B9" s="2" t="s">
        <v>256</v>
      </c>
      <c r="C9" s="8" t="s">
        <v>567</v>
      </c>
      <c r="D9" s="5" t="s">
        <v>572</v>
      </c>
    </row>
    <row r="10" spans="2:4" ht="28.7" x14ac:dyDescent="0.5">
      <c r="B10" s="2" t="s">
        <v>257</v>
      </c>
      <c r="C10" s="8" t="s">
        <v>538</v>
      </c>
      <c r="D10" s="5" t="s">
        <v>573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7E1A-045C-4817-8569-83034720E9A8}">
  <sheetPr codeName="Sheet10"/>
  <dimension ref="B2:G18"/>
  <sheetViews>
    <sheetView workbookViewId="0">
      <selection activeCell="B12" sqref="B12"/>
    </sheetView>
  </sheetViews>
  <sheetFormatPr defaultRowHeight="14.35" x14ac:dyDescent="0.5"/>
  <cols>
    <col min="2" max="2" width="12.29296875" bestFit="1" customWidth="1"/>
    <col min="3" max="3" width="9.87890625" bestFit="1" customWidth="1"/>
    <col min="4" max="4" width="10" bestFit="1" customWidth="1"/>
    <col min="5" max="5" width="12.05859375" bestFit="1" customWidth="1"/>
    <col min="6" max="6" width="32.3515625" bestFit="1" customWidth="1"/>
    <col min="7" max="7" width="41.64453125" bestFit="1" customWidth="1"/>
  </cols>
  <sheetData>
    <row r="2" spans="2:7" ht="21" thickBot="1" x14ac:dyDescent="0.55000000000000004">
      <c r="B2" s="48" t="s">
        <v>176</v>
      </c>
      <c r="C2" s="48"/>
      <c r="D2" s="48"/>
      <c r="E2" s="48"/>
      <c r="F2" s="48"/>
      <c r="G2" s="48"/>
    </row>
    <row r="3" spans="2:7" ht="15" thickTop="1" thickBot="1" x14ac:dyDescent="0.55000000000000004">
      <c r="B3" s="23" t="s">
        <v>154</v>
      </c>
      <c r="C3" s="24" t="s">
        <v>155</v>
      </c>
      <c r="D3" s="24" t="s">
        <v>383</v>
      </c>
      <c r="E3" s="24" t="s">
        <v>384</v>
      </c>
      <c r="F3" s="24" t="s">
        <v>386</v>
      </c>
      <c r="G3" s="24" t="s">
        <v>385</v>
      </c>
    </row>
    <row r="4" spans="2:7" ht="72" thickTop="1" x14ac:dyDescent="0.5">
      <c r="B4" s="8" t="s">
        <v>34</v>
      </c>
      <c r="C4" s="5">
        <v>130</v>
      </c>
      <c r="D4" s="5">
        <v>130</v>
      </c>
      <c r="E4" s="5" t="s">
        <v>156</v>
      </c>
      <c r="F4" s="5" t="s">
        <v>157</v>
      </c>
      <c r="G4" s="5" t="s">
        <v>158</v>
      </c>
    </row>
    <row r="5" spans="2:7" ht="71.7" x14ac:dyDescent="0.5">
      <c r="B5" s="8" t="s">
        <v>36</v>
      </c>
      <c r="C5" s="5">
        <v>119</v>
      </c>
      <c r="D5" s="5">
        <v>39</v>
      </c>
      <c r="E5" s="5" t="s">
        <v>159</v>
      </c>
      <c r="F5" s="5" t="s">
        <v>160</v>
      </c>
      <c r="G5" s="5" t="s">
        <v>161</v>
      </c>
    </row>
    <row r="6" spans="2:7" ht="71.7" x14ac:dyDescent="0.5">
      <c r="B6" s="8" t="s">
        <v>37</v>
      </c>
      <c r="C6" s="5">
        <v>99</v>
      </c>
      <c r="D6" s="5">
        <v>30</v>
      </c>
      <c r="E6" s="5" t="s">
        <v>177</v>
      </c>
      <c r="F6" s="5" t="s">
        <v>178</v>
      </c>
      <c r="G6" s="5" t="s">
        <v>179</v>
      </c>
    </row>
    <row r="7" spans="2:7" ht="71.7" x14ac:dyDescent="0.5">
      <c r="B7" s="8" t="s">
        <v>38</v>
      </c>
      <c r="C7" s="5">
        <v>412</v>
      </c>
      <c r="D7" s="5">
        <v>357</v>
      </c>
      <c r="E7" s="5" t="s">
        <v>180</v>
      </c>
      <c r="F7" s="5" t="s">
        <v>181</v>
      </c>
      <c r="G7" s="5" t="s">
        <v>182</v>
      </c>
    </row>
    <row r="8" spans="2:7" ht="71.7" x14ac:dyDescent="0.5">
      <c r="B8" s="8" t="s">
        <v>39</v>
      </c>
      <c r="C8" s="5">
        <v>100</v>
      </c>
      <c r="D8" s="5">
        <v>100</v>
      </c>
      <c r="E8" s="5" t="s">
        <v>162</v>
      </c>
      <c r="F8" s="5" t="s">
        <v>163</v>
      </c>
      <c r="G8" s="5" t="s">
        <v>164</v>
      </c>
    </row>
    <row r="9" spans="2:7" x14ac:dyDescent="0.5">
      <c r="B9" s="8" t="s">
        <v>183</v>
      </c>
      <c r="C9" s="5">
        <f>SUBTOTAL(109,Table1019269[TALLY])</f>
        <v>860</v>
      </c>
      <c r="D9" s="5">
        <f>SUBTOTAL(109,Table1019269[AVAIL])</f>
        <v>656</v>
      </c>
      <c r="E9" s="5"/>
      <c r="F9" s="5"/>
      <c r="G9" s="5"/>
    </row>
    <row r="10" spans="2:7" x14ac:dyDescent="0.5">
      <c r="B10" s="8"/>
      <c r="C10" s="5"/>
      <c r="D10" s="5"/>
      <c r="E10" s="5"/>
      <c r="F10" s="5"/>
      <c r="G10" s="2"/>
    </row>
    <row r="11" spans="2:7" ht="21" thickBot="1" x14ac:dyDescent="0.55000000000000004">
      <c r="B11" s="48" t="s">
        <v>184</v>
      </c>
      <c r="C11" s="48"/>
      <c r="D11" s="48"/>
      <c r="E11" s="48"/>
      <c r="F11" s="48"/>
      <c r="G11" s="48"/>
    </row>
    <row r="12" spans="2:7" ht="15" thickTop="1" thickBot="1" x14ac:dyDescent="0.55000000000000004">
      <c r="B12" s="23" t="s">
        <v>154</v>
      </c>
      <c r="C12" s="24" t="s">
        <v>155</v>
      </c>
      <c r="D12" s="24" t="s">
        <v>383</v>
      </c>
      <c r="E12" s="24" t="s">
        <v>384</v>
      </c>
      <c r="F12" s="24" t="s">
        <v>386</v>
      </c>
      <c r="G12" s="24" t="s">
        <v>385</v>
      </c>
    </row>
    <row r="13" spans="2:7" ht="72" thickTop="1" x14ac:dyDescent="0.5">
      <c r="B13" s="8" t="s">
        <v>34</v>
      </c>
      <c r="C13" s="5">
        <v>40</v>
      </c>
      <c r="D13" s="5">
        <v>40</v>
      </c>
      <c r="E13" s="5" t="s">
        <v>165</v>
      </c>
      <c r="F13" s="5" t="s">
        <v>166</v>
      </c>
      <c r="G13" s="5" t="s">
        <v>167</v>
      </c>
    </row>
    <row r="14" spans="2:7" ht="71.7" x14ac:dyDescent="0.5">
      <c r="B14" s="8" t="s">
        <v>36</v>
      </c>
      <c r="C14" s="5">
        <v>79</v>
      </c>
      <c r="D14" s="5">
        <v>22</v>
      </c>
      <c r="E14" s="5" t="s">
        <v>168</v>
      </c>
      <c r="F14" s="5" t="s">
        <v>169</v>
      </c>
      <c r="G14" s="5" t="s">
        <v>170</v>
      </c>
    </row>
    <row r="15" spans="2:7" ht="71.7" x14ac:dyDescent="0.5">
      <c r="B15" s="8" t="s">
        <v>37</v>
      </c>
      <c r="C15" s="5">
        <v>53</v>
      </c>
      <c r="D15" s="5">
        <v>10</v>
      </c>
      <c r="E15" s="5" t="s">
        <v>185</v>
      </c>
      <c r="F15" s="5" t="s">
        <v>186</v>
      </c>
      <c r="G15" s="5" t="s">
        <v>187</v>
      </c>
    </row>
    <row r="16" spans="2:7" ht="71.7" x14ac:dyDescent="0.5">
      <c r="B16" s="8" t="s">
        <v>38</v>
      </c>
      <c r="C16" s="5">
        <v>159</v>
      </c>
      <c r="D16" s="5">
        <v>140</v>
      </c>
      <c r="E16" s="5" t="s">
        <v>188</v>
      </c>
      <c r="F16" s="5" t="s">
        <v>189</v>
      </c>
      <c r="G16" s="5" t="s">
        <v>190</v>
      </c>
    </row>
    <row r="17" spans="2:7" ht="71.7" x14ac:dyDescent="0.5">
      <c r="B17" s="8" t="s">
        <v>39</v>
      </c>
      <c r="C17" s="5">
        <v>45</v>
      </c>
      <c r="D17" s="5">
        <v>45</v>
      </c>
      <c r="E17" s="5" t="s">
        <v>171</v>
      </c>
      <c r="F17" s="5" t="s">
        <v>172</v>
      </c>
      <c r="G17" s="5" t="s">
        <v>173</v>
      </c>
    </row>
    <row r="18" spans="2:7" x14ac:dyDescent="0.5">
      <c r="B18" s="8" t="s">
        <v>183</v>
      </c>
      <c r="C18" s="5">
        <f>SUBTOTAL(109,Table1019261615[TALLY])</f>
        <v>376</v>
      </c>
      <c r="D18" s="5">
        <f>SUBTOTAL(109,Table1019261615[AVAIL])</f>
        <v>257</v>
      </c>
      <c r="E18" s="5"/>
      <c r="F18" s="5"/>
      <c r="G18" s="5"/>
    </row>
  </sheetData>
  <mergeCells count="2">
    <mergeCell ref="B2:G2"/>
    <mergeCell ref="B11:G1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20A4-678C-4320-82BD-F74200BA17E9}">
  <dimension ref="B2:G19"/>
  <sheetViews>
    <sheetView workbookViewId="0">
      <selection activeCell="B3" sqref="B3"/>
    </sheetView>
  </sheetViews>
  <sheetFormatPr defaultRowHeight="14.35" x14ac:dyDescent="0.5"/>
  <cols>
    <col min="2" max="2" width="7.703125" bestFit="1" customWidth="1"/>
    <col min="3" max="3" width="20.9375" bestFit="1" customWidth="1"/>
    <col min="4" max="4" width="45.46875" bestFit="1" customWidth="1"/>
    <col min="5" max="5" width="36.29296875" bestFit="1" customWidth="1"/>
    <col min="6" max="7" width="15.8203125" bestFit="1" customWidth="1"/>
  </cols>
  <sheetData>
    <row r="2" spans="2:7" x14ac:dyDescent="0.5">
      <c r="B2" s="5" t="s">
        <v>390</v>
      </c>
      <c r="C2" s="5" t="s">
        <v>389</v>
      </c>
      <c r="D2" s="5" t="s">
        <v>134</v>
      </c>
      <c r="E2" s="5" t="s">
        <v>391</v>
      </c>
      <c r="F2" s="5" t="s">
        <v>392</v>
      </c>
      <c r="G2" s="5" t="s">
        <v>393</v>
      </c>
    </row>
    <row r="3" spans="2:7" x14ac:dyDescent="0.5">
      <c r="B3" s="6" t="s">
        <v>191</v>
      </c>
      <c r="C3" s="5" t="s">
        <v>249</v>
      </c>
      <c r="D3" s="25" t="s">
        <v>192</v>
      </c>
      <c r="E3" s="25" t="s">
        <v>193</v>
      </c>
      <c r="F3" s="5">
        <v>1073</v>
      </c>
      <c r="G3" s="5">
        <v>589</v>
      </c>
    </row>
    <row r="4" spans="2:7" ht="28.7" x14ac:dyDescent="0.5">
      <c r="B4" s="6" t="s">
        <v>194</v>
      </c>
      <c r="C4" s="1" t="s">
        <v>195</v>
      </c>
      <c r="D4" s="25" t="s">
        <v>250</v>
      </c>
      <c r="E4" s="25" t="s">
        <v>196</v>
      </c>
      <c r="F4" s="5">
        <v>758</v>
      </c>
      <c r="G4" s="5">
        <v>359</v>
      </c>
    </row>
    <row r="5" spans="2:7" x14ac:dyDescent="0.5">
      <c r="B5" s="6" t="s">
        <v>197</v>
      </c>
      <c r="C5" s="1" t="s">
        <v>198</v>
      </c>
      <c r="D5" s="25" t="s">
        <v>199</v>
      </c>
      <c r="E5" s="25" t="s">
        <v>200</v>
      </c>
      <c r="F5" s="2">
        <v>484</v>
      </c>
      <c r="G5" s="2">
        <v>200</v>
      </c>
    </row>
    <row r="6" spans="2:7" ht="28.7" x14ac:dyDescent="0.5">
      <c r="B6" s="6" t="s">
        <v>201</v>
      </c>
      <c r="C6" s="1" t="s">
        <v>202</v>
      </c>
      <c r="D6" s="25" t="s">
        <v>203</v>
      </c>
      <c r="E6" s="25" t="s">
        <v>204</v>
      </c>
      <c r="F6" s="5">
        <v>484</v>
      </c>
      <c r="G6" s="5">
        <v>200</v>
      </c>
    </row>
    <row r="7" spans="2:7" x14ac:dyDescent="0.5">
      <c r="B7" s="6" t="s">
        <v>205</v>
      </c>
      <c r="C7" s="1" t="s">
        <v>206</v>
      </c>
      <c r="D7" s="25" t="s">
        <v>207</v>
      </c>
      <c r="E7" s="25" t="s">
        <v>208</v>
      </c>
      <c r="F7" s="5">
        <v>484</v>
      </c>
      <c r="G7" s="5">
        <v>200</v>
      </c>
    </row>
    <row r="8" spans="2:7" ht="28.7" x14ac:dyDescent="0.5">
      <c r="B8" s="6" t="s">
        <v>209</v>
      </c>
      <c r="C8" s="1" t="s">
        <v>210</v>
      </c>
      <c r="D8" s="25" t="s">
        <v>211</v>
      </c>
      <c r="E8" s="25" t="s">
        <v>208</v>
      </c>
      <c r="F8" s="5">
        <v>484</v>
      </c>
      <c r="G8" s="5">
        <v>200</v>
      </c>
    </row>
    <row r="9" spans="2:7" x14ac:dyDescent="0.5">
      <c r="B9" s="6" t="s">
        <v>212</v>
      </c>
      <c r="C9" s="1" t="s">
        <v>213</v>
      </c>
      <c r="D9" s="26" t="s">
        <v>214</v>
      </c>
      <c r="E9" s="26" t="s">
        <v>215</v>
      </c>
      <c r="F9" s="5">
        <v>484</v>
      </c>
      <c r="G9" s="5">
        <v>200</v>
      </c>
    </row>
    <row r="10" spans="2:7" x14ac:dyDescent="0.5">
      <c r="B10" s="6" t="s">
        <v>216</v>
      </c>
      <c r="C10" s="1" t="s">
        <v>217</v>
      </c>
      <c r="D10" s="26" t="s">
        <v>218</v>
      </c>
      <c r="E10" s="26" t="s">
        <v>215</v>
      </c>
      <c r="F10" s="5">
        <v>462</v>
      </c>
      <c r="G10" s="5">
        <v>194</v>
      </c>
    </row>
    <row r="11" spans="2:7" ht="28.7" x14ac:dyDescent="0.5">
      <c r="B11" s="6" t="s">
        <v>219</v>
      </c>
      <c r="C11" s="1" t="s">
        <v>220</v>
      </c>
      <c r="D11" s="26" t="s">
        <v>221</v>
      </c>
      <c r="E11" s="26" t="s">
        <v>222</v>
      </c>
      <c r="F11" s="5">
        <v>462</v>
      </c>
      <c r="G11" s="5">
        <v>194</v>
      </c>
    </row>
    <row r="12" spans="2:7" x14ac:dyDescent="0.5">
      <c r="B12" s="6" t="s">
        <v>223</v>
      </c>
      <c r="C12" s="5" t="s">
        <v>224</v>
      </c>
      <c r="D12" s="26" t="s">
        <v>225</v>
      </c>
      <c r="E12" s="26" t="s">
        <v>215</v>
      </c>
      <c r="F12" s="5">
        <v>454</v>
      </c>
      <c r="G12" s="5">
        <v>188</v>
      </c>
    </row>
    <row r="13" spans="2:7" ht="28.7" x14ac:dyDescent="0.5">
      <c r="B13" s="6" t="s">
        <v>226</v>
      </c>
      <c r="C13" s="11" t="s">
        <v>227</v>
      </c>
      <c r="D13" s="26" t="s">
        <v>228</v>
      </c>
      <c r="E13" s="26" t="s">
        <v>229</v>
      </c>
      <c r="F13" s="5">
        <v>149</v>
      </c>
      <c r="G13" s="5">
        <v>65</v>
      </c>
    </row>
    <row r="14" spans="2:7" ht="28.7" x14ac:dyDescent="0.5">
      <c r="B14" s="6" t="s">
        <v>230</v>
      </c>
      <c r="C14" s="1" t="s">
        <v>231</v>
      </c>
      <c r="D14" s="26" t="s">
        <v>232</v>
      </c>
      <c r="E14" s="26" t="s">
        <v>233</v>
      </c>
      <c r="F14" s="5">
        <v>146</v>
      </c>
      <c r="G14" s="5">
        <v>64</v>
      </c>
    </row>
    <row r="15" spans="2:7" ht="57.35" x14ac:dyDescent="0.5">
      <c r="B15" s="6" t="s">
        <v>234</v>
      </c>
      <c r="C15" s="5" t="s">
        <v>394</v>
      </c>
      <c r="D15" s="26" t="s">
        <v>235</v>
      </c>
      <c r="E15" s="25" t="s">
        <v>208</v>
      </c>
      <c r="F15" s="5">
        <v>144</v>
      </c>
      <c r="G15" s="5">
        <v>62</v>
      </c>
    </row>
    <row r="16" spans="2:7" ht="43" x14ac:dyDescent="0.5">
      <c r="B16" s="6" t="s">
        <v>236</v>
      </c>
      <c r="C16" s="5" t="s">
        <v>395</v>
      </c>
      <c r="D16" s="26" t="s">
        <v>237</v>
      </c>
      <c r="E16" s="26" t="s">
        <v>238</v>
      </c>
      <c r="F16" s="5">
        <v>5</v>
      </c>
      <c r="G16" s="5">
        <v>3</v>
      </c>
    </row>
    <row r="17" spans="2:7" ht="28.7" x14ac:dyDescent="0.5">
      <c r="B17" s="6" t="s">
        <v>239</v>
      </c>
      <c r="C17" s="5" t="s">
        <v>396</v>
      </c>
      <c r="D17" s="25" t="s">
        <v>240</v>
      </c>
      <c r="E17" s="26" t="s">
        <v>233</v>
      </c>
      <c r="F17" s="5">
        <v>3</v>
      </c>
      <c r="G17" s="5">
        <v>2</v>
      </c>
    </row>
    <row r="18" spans="2:7" ht="28.7" x14ac:dyDescent="0.5">
      <c r="B18" s="6" t="s">
        <v>241</v>
      </c>
      <c r="C18" s="5" t="s">
        <v>242</v>
      </c>
      <c r="D18" s="26" t="s">
        <v>243</v>
      </c>
      <c r="E18" s="26" t="s">
        <v>244</v>
      </c>
      <c r="F18" s="5">
        <v>8</v>
      </c>
      <c r="G18" s="5">
        <v>7</v>
      </c>
    </row>
    <row r="19" spans="2:7" x14ac:dyDescent="0.5">
      <c r="B19" s="6" t="s">
        <v>245</v>
      </c>
      <c r="C19" s="5" t="s">
        <v>246</v>
      </c>
      <c r="D19" s="25" t="s">
        <v>247</v>
      </c>
      <c r="E19" s="25" t="s">
        <v>248</v>
      </c>
      <c r="F19" s="5">
        <v>6</v>
      </c>
      <c r="G19" s="5">
        <v>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EC37-A4BA-4525-991A-C782DDE4C28C}">
  <dimension ref="B2:M10"/>
  <sheetViews>
    <sheetView topLeftCell="C1" workbookViewId="0">
      <selection activeCell="C21" sqref="C21"/>
    </sheetView>
  </sheetViews>
  <sheetFormatPr defaultRowHeight="14.35" x14ac:dyDescent="0.5"/>
  <cols>
    <col min="2" max="2" width="9.8203125" bestFit="1" customWidth="1"/>
    <col min="3" max="3" width="31.64453125" bestFit="1" customWidth="1"/>
    <col min="4" max="4" width="11" bestFit="1" customWidth="1"/>
    <col min="5" max="5" width="18.17578125" bestFit="1" customWidth="1"/>
    <col min="6" max="11" width="9.9375" bestFit="1" customWidth="1"/>
    <col min="12" max="12" width="10.1171875" bestFit="1" customWidth="1"/>
    <col min="13" max="13" width="13.17578125" bestFit="1" customWidth="1"/>
  </cols>
  <sheetData>
    <row r="2" spans="2:13" ht="28.7" x14ac:dyDescent="0.5">
      <c r="B2" s="35" t="s">
        <v>251</v>
      </c>
      <c r="C2" s="7" t="s">
        <v>104</v>
      </c>
      <c r="D2" s="7" t="s">
        <v>398</v>
      </c>
      <c r="E2" s="7" t="s">
        <v>397</v>
      </c>
      <c r="F2" s="7" t="s">
        <v>252</v>
      </c>
      <c r="G2" s="7" t="s">
        <v>253</v>
      </c>
      <c r="H2" s="7" t="s">
        <v>254</v>
      </c>
      <c r="I2" s="7" t="s">
        <v>255</v>
      </c>
      <c r="J2" s="7" t="s">
        <v>256</v>
      </c>
      <c r="K2" s="7" t="s">
        <v>257</v>
      </c>
      <c r="L2" s="7" t="s">
        <v>399</v>
      </c>
      <c r="M2" s="7" t="s">
        <v>400</v>
      </c>
    </row>
    <row r="3" spans="2:13" ht="28.7" x14ac:dyDescent="0.5">
      <c r="B3" s="5" t="s">
        <v>260</v>
      </c>
      <c r="C3" s="5" t="s">
        <v>259</v>
      </c>
      <c r="D3" s="6" t="s">
        <v>258</v>
      </c>
      <c r="E3" s="5">
        <v>2022</v>
      </c>
      <c r="F3" s="5" t="s">
        <v>109</v>
      </c>
      <c r="G3" s="5" t="s">
        <v>109</v>
      </c>
      <c r="H3" s="5" t="s">
        <v>109</v>
      </c>
      <c r="I3" s="5" t="s">
        <v>109</v>
      </c>
      <c r="J3" s="5" t="s">
        <v>109</v>
      </c>
      <c r="K3" s="5" t="s">
        <v>261</v>
      </c>
      <c r="L3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3" s="10" t="str">
        <f>IF(Table2529[[#This Row],[SC]]&gt;0.7, "YES", "NO")</f>
        <v>YES</v>
      </c>
    </row>
    <row r="4" spans="2:13" ht="28.7" x14ac:dyDescent="0.5">
      <c r="B4" s="5" t="s">
        <v>264</v>
      </c>
      <c r="C4" s="5" t="s">
        <v>263</v>
      </c>
      <c r="D4" s="6" t="s">
        <v>262</v>
      </c>
      <c r="E4" s="5">
        <v>2011</v>
      </c>
      <c r="F4" s="5" t="s">
        <v>109</v>
      </c>
      <c r="G4" s="5" t="s">
        <v>109</v>
      </c>
      <c r="H4" s="5" t="s">
        <v>109</v>
      </c>
      <c r="I4" s="5" t="s">
        <v>109</v>
      </c>
      <c r="J4" s="5" t="s">
        <v>109</v>
      </c>
      <c r="K4" s="5" t="s">
        <v>261</v>
      </c>
      <c r="L4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4" s="10" t="str">
        <f>IF(Table2529[[#This Row],[SC]]&gt;0.7, "YES", "NO")</f>
        <v>YES</v>
      </c>
    </row>
    <row r="5" spans="2:13" ht="28.7" x14ac:dyDescent="0.5">
      <c r="B5" s="5" t="s">
        <v>267</v>
      </c>
      <c r="C5" s="5" t="s">
        <v>266</v>
      </c>
      <c r="D5" s="6" t="s">
        <v>265</v>
      </c>
      <c r="E5" s="5">
        <v>2010</v>
      </c>
      <c r="F5" s="5" t="s">
        <v>109</v>
      </c>
      <c r="G5" s="5" t="s">
        <v>109</v>
      </c>
      <c r="H5" s="5" t="s">
        <v>109</v>
      </c>
      <c r="I5" s="5" t="s">
        <v>109</v>
      </c>
      <c r="J5" s="5" t="s">
        <v>109</v>
      </c>
      <c r="K5" s="5" t="s">
        <v>261</v>
      </c>
      <c r="L5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5" s="10" t="str">
        <f>IF(Table2529[[#This Row],[SC]]&gt;0.7, "YES", "NO")</f>
        <v>YES</v>
      </c>
    </row>
    <row r="6" spans="2:13" ht="28.7" x14ac:dyDescent="0.5">
      <c r="B6" s="5" t="s">
        <v>270</v>
      </c>
      <c r="C6" s="5" t="s">
        <v>269</v>
      </c>
      <c r="D6" s="6" t="s">
        <v>268</v>
      </c>
      <c r="E6" s="5">
        <v>2009</v>
      </c>
      <c r="F6" s="5" t="s">
        <v>109</v>
      </c>
      <c r="G6" s="5" t="s">
        <v>109</v>
      </c>
      <c r="H6" s="5" t="s">
        <v>109</v>
      </c>
      <c r="I6" s="5" t="s">
        <v>261</v>
      </c>
      <c r="J6" s="5" t="s">
        <v>261</v>
      </c>
      <c r="K6" s="5" t="s">
        <v>271</v>
      </c>
      <c r="L6" s="9">
        <f>SUM(COUNTIF(Table2529[[#This Row],[QF-01]:[QF-06]],"YES"),COUNTIF(Table2529[[#This Row],[QF-01]:[QF-06]],"PARTIALLY")/2,COUNTIF(Table2529[[#This Row],[QF-01]:[QF-06]],"YES/NO"))/COUNTA(Table2529[[#This Row],[QF-01]:[QF-06]])</f>
        <v>0.66666666666666663</v>
      </c>
      <c r="M6" s="10" t="str">
        <f>IF(Table2529[[#This Row],[SC]]&gt;0.7, "YES", "NO")</f>
        <v>NO</v>
      </c>
    </row>
    <row r="7" spans="2:13" ht="28.7" x14ac:dyDescent="0.5">
      <c r="B7" s="5" t="s">
        <v>274</v>
      </c>
      <c r="C7" s="5" t="s">
        <v>273</v>
      </c>
      <c r="D7" s="6" t="s">
        <v>272</v>
      </c>
      <c r="E7" s="5">
        <v>2008</v>
      </c>
      <c r="F7" s="5" t="s">
        <v>109</v>
      </c>
      <c r="G7" s="5" t="s">
        <v>109</v>
      </c>
      <c r="H7" s="5" t="s">
        <v>109</v>
      </c>
      <c r="I7" s="5" t="s">
        <v>109</v>
      </c>
      <c r="J7" s="5" t="s">
        <v>261</v>
      </c>
      <c r="K7" s="5" t="s">
        <v>271</v>
      </c>
      <c r="L7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7" s="10" t="str">
        <f>IF(Table2529[[#This Row],[SC]]&gt;0.7, "YES", "NO")</f>
        <v>YES</v>
      </c>
    </row>
    <row r="8" spans="2:13" ht="28.7" x14ac:dyDescent="0.5">
      <c r="B8" s="5" t="s">
        <v>277</v>
      </c>
      <c r="C8" s="5" t="s">
        <v>276</v>
      </c>
      <c r="D8" s="6" t="s">
        <v>275</v>
      </c>
      <c r="E8" s="5">
        <v>2008</v>
      </c>
      <c r="F8" s="5" t="s">
        <v>109</v>
      </c>
      <c r="G8" s="5" t="s">
        <v>109</v>
      </c>
      <c r="H8" s="5" t="s">
        <v>109</v>
      </c>
      <c r="I8" s="5" t="s">
        <v>109</v>
      </c>
      <c r="J8" s="5" t="s">
        <v>261</v>
      </c>
      <c r="K8" s="5" t="s">
        <v>271</v>
      </c>
      <c r="L8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8" s="10" t="str">
        <f>IF(Table2529[[#This Row],[SC]]&gt;0.7, "YES", "NO")</f>
        <v>YES</v>
      </c>
    </row>
    <row r="9" spans="2:13" ht="28.7" x14ac:dyDescent="0.5">
      <c r="B9" s="5" t="s">
        <v>280</v>
      </c>
      <c r="C9" s="5" t="s">
        <v>279</v>
      </c>
      <c r="D9" s="6" t="s">
        <v>278</v>
      </c>
      <c r="E9" s="5">
        <v>2008</v>
      </c>
      <c r="F9" s="5" t="s">
        <v>109</v>
      </c>
      <c r="G9" s="5" t="s">
        <v>109</v>
      </c>
      <c r="H9" s="5" t="s">
        <v>109</v>
      </c>
      <c r="I9" s="5" t="s">
        <v>109</v>
      </c>
      <c r="J9" s="5" t="s">
        <v>261</v>
      </c>
      <c r="K9" s="5" t="s">
        <v>271</v>
      </c>
      <c r="L9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9" s="10" t="str">
        <f>IF(Table2529[[#This Row],[SC]]&gt;0.7, "YES", "NO")</f>
        <v>YES</v>
      </c>
    </row>
    <row r="10" spans="2:13" ht="43" x14ac:dyDescent="0.5">
      <c r="B10" s="34" t="s">
        <v>283</v>
      </c>
      <c r="C10" s="5" t="s">
        <v>282</v>
      </c>
      <c r="D10" s="6" t="s">
        <v>281</v>
      </c>
      <c r="E10" s="5">
        <v>2007</v>
      </c>
      <c r="F10" s="5" t="s">
        <v>109</v>
      </c>
      <c r="G10" s="5" t="s">
        <v>109</v>
      </c>
      <c r="H10" s="5" t="s">
        <v>109</v>
      </c>
      <c r="I10" s="5" t="s">
        <v>261</v>
      </c>
      <c r="J10" s="5" t="s">
        <v>261</v>
      </c>
      <c r="K10" s="5" t="s">
        <v>271</v>
      </c>
      <c r="L10" s="9">
        <f>SUM(COUNTIF(Table2529[[#This Row],[QF-01]:[QF-06]],"YES"),COUNTIF(Table2529[[#This Row],[QF-01]:[QF-06]],"PARTIALLY")/2,COUNTIF(Table2529[[#This Row],[QF-01]:[QF-06]],"YES/NO"))/COUNTA(Table2529[[#This Row],[QF-01]:[QF-06]])</f>
        <v>0.66666666666666663</v>
      </c>
      <c r="M10" s="10" t="str">
        <f>IF(Table2529[[#This Row],[SC]]&gt;0.7, "YES", "NO")</f>
        <v>NO</v>
      </c>
    </row>
  </sheetData>
  <conditionalFormatting sqref="B3:B10">
    <cfRule type="cellIs" dxfId="10" priority="1" operator="equal">
      <formula>$M$6</formula>
    </cfRule>
    <cfRule type="duplicateValues" dxfId="9" priority="2"/>
  </conditionalFormatting>
  <conditionalFormatting sqref="C3:C4">
    <cfRule type="duplicateValues" dxfId="8" priority="5"/>
  </conditionalFormatting>
  <conditionalFormatting sqref="C5:C10">
    <cfRule type="duplicateValues" dxfId="7" priority="4"/>
  </conditionalFormatting>
  <conditionalFormatting sqref="C3:M10">
    <cfRule type="cellIs" dxfId="6" priority="3" operator="equal">
      <formula>$M$6</formula>
    </cfRule>
  </conditionalFormatting>
  <conditionalFormatting sqref="D3:D10">
    <cfRule type="duplicateValues" dxfId="5" priority="6"/>
  </conditionalFormatting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B834-6F2F-43B3-BD24-5E2CCDE914C1}">
  <dimension ref="B2:J11"/>
  <sheetViews>
    <sheetView topLeftCell="B1" workbookViewId="0">
      <selection activeCell="D2" sqref="D2:J11"/>
    </sheetView>
  </sheetViews>
  <sheetFormatPr defaultRowHeight="14.35" x14ac:dyDescent="0.5"/>
  <cols>
    <col min="2" max="3" width="45.8203125" bestFit="1" customWidth="1"/>
    <col min="4" max="4" width="7.17578125" bestFit="1" customWidth="1"/>
    <col min="5" max="5" width="12.29296875" bestFit="1" customWidth="1"/>
    <col min="6" max="6" width="11.29296875" bestFit="1" customWidth="1"/>
    <col min="7" max="7" width="9.29296875" bestFit="1" customWidth="1"/>
    <col min="8" max="8" width="18.703125" bestFit="1" customWidth="1"/>
    <col min="9" max="9" width="18.9375" bestFit="1" customWidth="1"/>
    <col min="10" max="10" width="46.29296875" bestFit="1" customWidth="1"/>
  </cols>
  <sheetData>
    <row r="2" spans="2:10" x14ac:dyDescent="0.5">
      <c r="B2" s="5" t="s">
        <v>103</v>
      </c>
      <c r="C2" s="5" t="s">
        <v>104</v>
      </c>
      <c r="D2" s="2" t="s">
        <v>47</v>
      </c>
      <c r="E2" s="2" t="s">
        <v>284</v>
      </c>
      <c r="F2" s="2" t="s">
        <v>285</v>
      </c>
      <c r="G2" s="2" t="s">
        <v>286</v>
      </c>
      <c r="H2" s="2" t="s">
        <v>287</v>
      </c>
      <c r="I2" s="2" t="s">
        <v>105</v>
      </c>
      <c r="J2" s="5" t="s">
        <v>288</v>
      </c>
    </row>
    <row r="3" spans="2:10" ht="28.7" x14ac:dyDescent="0.5">
      <c r="B3" s="5" t="s">
        <v>289</v>
      </c>
      <c r="C3" s="27" t="s">
        <v>289</v>
      </c>
      <c r="D3" s="8" t="s">
        <v>290</v>
      </c>
      <c r="E3" s="28">
        <v>5778</v>
      </c>
      <c r="F3" s="28">
        <v>1376</v>
      </c>
      <c r="G3" s="9">
        <f>Table101626[[#This Row],[Types]]/Table101626[[#This Row],[Words]]</f>
        <v>0.23814468674281758</v>
      </c>
      <c r="H3" s="9">
        <v>25.45</v>
      </c>
      <c r="I3" s="9">
        <v>23.052</v>
      </c>
      <c r="J3" s="26" t="s">
        <v>291</v>
      </c>
    </row>
    <row r="4" spans="2:10" ht="28.7" x14ac:dyDescent="0.5">
      <c r="B4" s="5" t="s">
        <v>99</v>
      </c>
      <c r="C4" s="27" t="s">
        <v>99</v>
      </c>
      <c r="D4" s="8" t="s">
        <v>292</v>
      </c>
      <c r="E4" s="28">
        <v>10370</v>
      </c>
      <c r="F4" s="28">
        <v>2230</v>
      </c>
      <c r="G4" s="9">
        <f>Table101626[[#This Row],[Types]]/Table101626[[#This Row],[Words]]</f>
        <v>0.21504339440694312</v>
      </c>
      <c r="H4" s="9">
        <v>22.35</v>
      </c>
      <c r="I4" s="9">
        <v>12.413</v>
      </c>
      <c r="J4" s="26" t="s">
        <v>293</v>
      </c>
    </row>
    <row r="5" spans="2:10" x14ac:dyDescent="0.5">
      <c r="B5" s="5" t="s">
        <v>294</v>
      </c>
      <c r="C5" s="27" t="s">
        <v>101</v>
      </c>
      <c r="D5" s="8" t="s">
        <v>295</v>
      </c>
      <c r="E5" s="28">
        <v>20765</v>
      </c>
      <c r="F5" s="28">
        <v>3996</v>
      </c>
      <c r="G5" s="9">
        <f>Table101626[[#This Row],[Types]]/Table101626[[#This Row],[Words]]</f>
        <v>0.19243920057789549</v>
      </c>
      <c r="H5" s="9">
        <v>26.9</v>
      </c>
      <c r="I5" s="9">
        <v>15.583</v>
      </c>
      <c r="J5" s="26" t="s">
        <v>296</v>
      </c>
    </row>
    <row r="6" spans="2:10" ht="28.7" x14ac:dyDescent="0.5">
      <c r="B6" s="5" t="s">
        <v>297</v>
      </c>
      <c r="C6" s="5" t="s">
        <v>298</v>
      </c>
      <c r="D6" s="8" t="s">
        <v>299</v>
      </c>
      <c r="E6" s="28">
        <v>9348</v>
      </c>
      <c r="F6" s="28">
        <v>2106</v>
      </c>
      <c r="G6" s="9">
        <f>Table101626[[#This Row],[Types]]/Table101626[[#This Row],[Words]]</f>
        <v>0.22528883183568676</v>
      </c>
      <c r="H6" s="9">
        <v>26.41</v>
      </c>
      <c r="I6" s="9">
        <v>12.651</v>
      </c>
      <c r="J6" s="26" t="s">
        <v>300</v>
      </c>
    </row>
    <row r="7" spans="2:10" x14ac:dyDescent="0.5">
      <c r="B7" s="5" t="s">
        <v>301</v>
      </c>
      <c r="C7" s="5" t="s">
        <v>302</v>
      </c>
      <c r="D7" s="8" t="s">
        <v>303</v>
      </c>
      <c r="E7" s="28">
        <v>3246</v>
      </c>
      <c r="F7" s="28">
        <v>1020</v>
      </c>
      <c r="G7" s="9">
        <f>Table101626[[#This Row],[Types]]/Table101626[[#This Row],[Words]]</f>
        <v>0.3142329020332717</v>
      </c>
      <c r="H7" s="9">
        <v>29.24</v>
      </c>
      <c r="I7" s="9">
        <v>12.619</v>
      </c>
      <c r="J7" s="26" t="s">
        <v>304</v>
      </c>
    </row>
    <row r="8" spans="2:10" ht="28.7" x14ac:dyDescent="0.5">
      <c r="B8" s="5" t="s">
        <v>102</v>
      </c>
      <c r="C8" s="5" t="s">
        <v>279</v>
      </c>
      <c r="D8" s="8" t="s">
        <v>305</v>
      </c>
      <c r="E8" s="28">
        <v>6789</v>
      </c>
      <c r="F8" s="28">
        <v>1606</v>
      </c>
      <c r="G8" s="9">
        <f>Table101626[[#This Row],[Types]]/Table101626[[#This Row],[Words]]</f>
        <v>0.23655913978494625</v>
      </c>
      <c r="H8" s="9">
        <v>26.11</v>
      </c>
      <c r="I8" s="9">
        <v>14.256</v>
      </c>
      <c r="J8" s="26" t="s">
        <v>306</v>
      </c>
    </row>
    <row r="9" spans="2:10" x14ac:dyDescent="0.5">
      <c r="B9" s="5"/>
      <c r="C9" s="5"/>
      <c r="D9" s="2" t="s">
        <v>106</v>
      </c>
      <c r="E9" s="29">
        <f>SUBTOTAL(101,Table101626[Words])</f>
        <v>9382.6666666666661</v>
      </c>
      <c r="F9" s="28">
        <f>SUBTOTAL(101,Table101626[Types])</f>
        <v>2055.6666666666665</v>
      </c>
      <c r="G9" s="9">
        <f>SUBTOTAL(101,Table101626[Ratio])</f>
        <v>0.23695135923026014</v>
      </c>
      <c r="H9" s="9">
        <f>SUBTOTAL(101,Table101626[Words/Sentence])</f>
        <v>26.076666666666664</v>
      </c>
      <c r="I9" s="9">
        <f>SUBTOTAL(101,Table101626[Readability Index])</f>
        <v>15.095666666666666</v>
      </c>
      <c r="J9" s="26"/>
    </row>
    <row r="10" spans="2:10" x14ac:dyDescent="0.5">
      <c r="B10" s="5"/>
      <c r="C10" s="5"/>
      <c r="D10" s="30" t="s">
        <v>107</v>
      </c>
      <c r="E10" s="40">
        <f>MIN(Table101626[Words])</f>
        <v>3246</v>
      </c>
      <c r="F10" s="40">
        <f>MIN(Table101626[Types])</f>
        <v>1020</v>
      </c>
      <c r="G10" s="31">
        <f>MIN(Table101626[Ratio])</f>
        <v>0.19243920057789549</v>
      </c>
      <c r="H10" s="31">
        <f>MIN(Table101626[Words/Sentence])</f>
        <v>22.35</v>
      </c>
      <c r="I10" s="31">
        <f>MIN(Table101626[Readability Index])</f>
        <v>12.413</v>
      </c>
      <c r="J10" s="26"/>
    </row>
    <row r="11" spans="2:10" x14ac:dyDescent="0.5">
      <c r="B11" s="5"/>
      <c r="C11" s="5"/>
      <c r="D11" s="32" t="s">
        <v>108</v>
      </c>
      <c r="E11" s="41">
        <f>MAX(Table101626[Words])</f>
        <v>20765</v>
      </c>
      <c r="F11" s="41">
        <f>MAX(Table101626[Types])</f>
        <v>3996</v>
      </c>
      <c r="G11" s="33">
        <f>MAX(Table101626[Ratio])</f>
        <v>0.3142329020332717</v>
      </c>
      <c r="H11" s="33">
        <f>MAX(Table101626[Words/Sentence])</f>
        <v>29.24</v>
      </c>
      <c r="I11" s="33">
        <f>MAX(Table101626[Readability Index])</f>
        <v>23.052</v>
      </c>
      <c r="J11" s="26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96DF-B840-4B73-9F84-4076753DE18E}">
  <dimension ref="B2:P8"/>
  <sheetViews>
    <sheetView topLeftCell="B1" workbookViewId="0">
      <selection activeCell="J8" sqref="D2:J8"/>
    </sheetView>
  </sheetViews>
  <sheetFormatPr defaultRowHeight="14.35" x14ac:dyDescent="0.5"/>
  <cols>
    <col min="2" max="2" width="40.29296875" bestFit="1" customWidth="1"/>
    <col min="3" max="3" width="29.64453125" bestFit="1" customWidth="1"/>
    <col min="4" max="4" width="6.87890625" bestFit="1" customWidth="1"/>
    <col min="5" max="5" width="12.76171875" bestFit="1" customWidth="1"/>
    <col min="6" max="6" width="13.234375" bestFit="1" customWidth="1"/>
    <col min="7" max="7" width="12.76171875" bestFit="1" customWidth="1"/>
    <col min="8" max="8" width="13" bestFit="1" customWidth="1"/>
    <col min="9" max="9" width="13.76171875" bestFit="1" customWidth="1"/>
    <col min="10" max="10" width="43.1171875" bestFit="1" customWidth="1"/>
    <col min="12" max="12" width="9.41015625" bestFit="1" customWidth="1"/>
    <col min="13" max="13" width="38.52734375" customWidth="1"/>
    <col min="14" max="14" width="23.52734375" bestFit="1" customWidth="1"/>
    <col min="15" max="15" width="30.1171875" bestFit="1" customWidth="1"/>
    <col min="16" max="16" width="9.46875" bestFit="1" customWidth="1"/>
    <col min="17" max="21" width="39.3515625" customWidth="1"/>
  </cols>
  <sheetData>
    <row r="2" spans="2:16" x14ac:dyDescent="0.5">
      <c r="B2" s="5" t="s">
        <v>347</v>
      </c>
      <c r="C2" s="5" t="s">
        <v>102</v>
      </c>
      <c r="D2" s="2" t="s">
        <v>47</v>
      </c>
      <c r="E2" s="2" t="s">
        <v>348</v>
      </c>
      <c r="F2" s="2" t="s">
        <v>349</v>
      </c>
      <c r="G2" s="2" t="s">
        <v>350</v>
      </c>
      <c r="H2" s="2" t="s">
        <v>351</v>
      </c>
      <c r="I2" s="2" t="s">
        <v>352</v>
      </c>
      <c r="J2" s="5" t="s">
        <v>419</v>
      </c>
      <c r="L2" s="2" t="s">
        <v>414</v>
      </c>
      <c r="M2" s="5" t="s">
        <v>415</v>
      </c>
      <c r="N2" s="5" t="s">
        <v>418</v>
      </c>
      <c r="O2" s="5" t="s">
        <v>416</v>
      </c>
      <c r="P2" s="2" t="s">
        <v>417</v>
      </c>
    </row>
    <row r="3" spans="2:16" ht="28.7" x14ac:dyDescent="0.5">
      <c r="B3" s="5" t="s">
        <v>289</v>
      </c>
      <c r="C3" s="5" t="s">
        <v>289</v>
      </c>
      <c r="D3" s="8" t="s">
        <v>290</v>
      </c>
      <c r="E3" s="42">
        <v>0.74950000000000006</v>
      </c>
      <c r="F3" s="42">
        <v>6.8600000000000008E-2</v>
      </c>
      <c r="G3" s="42">
        <v>8.7599999999999997E-2</v>
      </c>
      <c r="H3" s="43">
        <v>4.5700000000000005E-2</v>
      </c>
      <c r="I3" s="43">
        <v>4.8600000000000004E-2</v>
      </c>
      <c r="J3" s="5" t="s">
        <v>353</v>
      </c>
      <c r="L3" s="8" t="s">
        <v>354</v>
      </c>
      <c r="M3" s="5" t="s">
        <v>355</v>
      </c>
      <c r="N3" s="5" t="s">
        <v>356</v>
      </c>
      <c r="O3" s="5" t="s">
        <v>357</v>
      </c>
      <c r="P3" s="2" t="s">
        <v>348</v>
      </c>
    </row>
    <row r="4" spans="2:16" ht="28.7" x14ac:dyDescent="0.5">
      <c r="B4" s="5" t="s">
        <v>99</v>
      </c>
      <c r="C4" s="5" t="s">
        <v>99</v>
      </c>
      <c r="D4" s="8" t="s">
        <v>292</v>
      </c>
      <c r="E4" s="42">
        <v>6.7599999999999993E-2</v>
      </c>
      <c r="F4" s="42">
        <v>0.1</v>
      </c>
      <c r="G4" s="42">
        <v>0.1057</v>
      </c>
      <c r="H4" s="43">
        <v>0.36380000000000001</v>
      </c>
      <c r="I4" s="43">
        <v>0.3629</v>
      </c>
      <c r="J4" s="5" t="s">
        <v>358</v>
      </c>
      <c r="L4" s="8" t="s">
        <v>359</v>
      </c>
      <c r="M4" s="5" t="s">
        <v>360</v>
      </c>
      <c r="N4" s="5" t="s">
        <v>361</v>
      </c>
      <c r="O4" s="5" t="s">
        <v>362</v>
      </c>
      <c r="P4" s="2" t="s">
        <v>349</v>
      </c>
    </row>
    <row r="5" spans="2:16" ht="28.7" x14ac:dyDescent="0.5">
      <c r="B5" s="5" t="s">
        <v>294</v>
      </c>
      <c r="C5" s="5" t="s">
        <v>101</v>
      </c>
      <c r="D5" s="8" t="s">
        <v>295</v>
      </c>
      <c r="E5" s="42">
        <v>0.3286</v>
      </c>
      <c r="F5" s="42">
        <v>0.11710000000000001</v>
      </c>
      <c r="G5" s="42">
        <v>0.19140000000000001</v>
      </c>
      <c r="H5" s="43">
        <v>0.28949999999999998</v>
      </c>
      <c r="I5" s="43">
        <v>7.3300000000000004E-2</v>
      </c>
      <c r="J5" s="5" t="s">
        <v>363</v>
      </c>
      <c r="L5" s="8" t="s">
        <v>364</v>
      </c>
      <c r="M5" s="5" t="s">
        <v>365</v>
      </c>
      <c r="N5" s="5" t="s">
        <v>366</v>
      </c>
      <c r="O5" s="5" t="s">
        <v>367</v>
      </c>
      <c r="P5" s="2" t="s">
        <v>350</v>
      </c>
    </row>
    <row r="6" spans="2:16" ht="43" x14ac:dyDescent="0.5">
      <c r="B6" s="5" t="s">
        <v>297</v>
      </c>
      <c r="C6" s="5" t="s">
        <v>298</v>
      </c>
      <c r="D6" s="8" t="s">
        <v>299</v>
      </c>
      <c r="E6" s="42">
        <v>1.8100000000000002E-2</v>
      </c>
      <c r="F6" s="42">
        <v>0.23519999999999999</v>
      </c>
      <c r="G6" s="42">
        <v>8.48E-2</v>
      </c>
      <c r="H6" s="43">
        <v>0.23620000000000002</v>
      </c>
      <c r="I6" s="43">
        <v>0.42570000000000002</v>
      </c>
      <c r="J6" s="5" t="s">
        <v>368</v>
      </c>
      <c r="L6" s="8" t="s">
        <v>369</v>
      </c>
      <c r="M6" s="5" t="s">
        <v>370</v>
      </c>
      <c r="N6" s="5" t="s">
        <v>371</v>
      </c>
      <c r="O6" s="5" t="s">
        <v>372</v>
      </c>
      <c r="P6" s="2" t="s">
        <v>351</v>
      </c>
    </row>
    <row r="7" spans="2:16" ht="28.7" x14ac:dyDescent="0.5">
      <c r="B7" s="5" t="s">
        <v>301</v>
      </c>
      <c r="C7" s="5" t="s">
        <v>302</v>
      </c>
      <c r="D7" s="8" t="s">
        <v>303</v>
      </c>
      <c r="E7" s="42">
        <v>3.9E-2</v>
      </c>
      <c r="F7" s="42">
        <v>0.32189999999999996</v>
      </c>
      <c r="G7" s="42">
        <v>0.24379999999999999</v>
      </c>
      <c r="H7" s="43">
        <v>0.37709999999999999</v>
      </c>
      <c r="I7" s="43">
        <v>1.8100000000000002E-2</v>
      </c>
      <c r="J7" s="5" t="s">
        <v>373</v>
      </c>
      <c r="L7" s="8" t="s">
        <v>374</v>
      </c>
      <c r="M7" s="34" t="s">
        <v>375</v>
      </c>
      <c r="N7" s="5" t="s">
        <v>376</v>
      </c>
      <c r="O7" s="5" t="s">
        <v>377</v>
      </c>
      <c r="P7" s="2" t="s">
        <v>352</v>
      </c>
    </row>
    <row r="8" spans="2:16" ht="28.7" x14ac:dyDescent="0.5">
      <c r="B8" s="5" t="s">
        <v>102</v>
      </c>
      <c r="C8" s="5" t="s">
        <v>279</v>
      </c>
      <c r="D8" s="8" t="s">
        <v>305</v>
      </c>
      <c r="E8" s="42">
        <v>2.9500000000000002E-2</v>
      </c>
      <c r="F8" s="42">
        <v>0.26950000000000002</v>
      </c>
      <c r="G8" s="42">
        <v>0.42859999999999998</v>
      </c>
      <c r="H8" s="43">
        <v>0.1857</v>
      </c>
      <c r="I8" s="43">
        <v>8.6699999999999999E-2</v>
      </c>
      <c r="J8" s="5" t="s">
        <v>378</v>
      </c>
      <c r="M8" s="44"/>
      <c r="N8" s="44"/>
      <c r="O8" s="44"/>
    </row>
  </sheetData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6DD9-FA3A-46B3-8B8C-8CEC3FA488A2}">
  <dimension ref="B2:E8"/>
  <sheetViews>
    <sheetView workbookViewId="0">
      <selection activeCell="B2" sqref="B2:E8"/>
    </sheetView>
  </sheetViews>
  <sheetFormatPr defaultRowHeight="14.35" x14ac:dyDescent="0.5"/>
  <cols>
    <col min="2" max="2" width="11" style="2" bestFit="1" customWidth="1"/>
    <col min="3" max="3" width="26.87890625" style="2" customWidth="1"/>
    <col min="4" max="4" width="15.52734375" style="2" bestFit="1" customWidth="1"/>
    <col min="5" max="5" width="85.46875" style="2" bestFit="1" customWidth="1"/>
    <col min="6" max="7" width="89.17578125" customWidth="1"/>
  </cols>
  <sheetData>
    <row r="2" spans="2:5" x14ac:dyDescent="0.5">
      <c r="B2" s="2" t="s">
        <v>420</v>
      </c>
      <c r="C2" s="5" t="s">
        <v>401</v>
      </c>
      <c r="D2" s="5" t="s">
        <v>421</v>
      </c>
      <c r="E2" s="5" t="s">
        <v>391</v>
      </c>
    </row>
    <row r="3" spans="2:5" ht="43" x14ac:dyDescent="0.5">
      <c r="B3" s="2" t="s">
        <v>290</v>
      </c>
      <c r="C3" s="5" t="s">
        <v>289</v>
      </c>
      <c r="D3" s="5" t="s">
        <v>379</v>
      </c>
      <c r="E3" s="25" t="s">
        <v>408</v>
      </c>
    </row>
    <row r="4" spans="2:5" ht="28.7" x14ac:dyDescent="0.5">
      <c r="B4" s="2" t="s">
        <v>292</v>
      </c>
      <c r="C4" s="5" t="s">
        <v>99</v>
      </c>
      <c r="D4" s="5" t="s">
        <v>380</v>
      </c>
      <c r="E4" s="25" t="s">
        <v>410</v>
      </c>
    </row>
    <row r="5" spans="2:5" ht="43" x14ac:dyDescent="0.5">
      <c r="B5" s="2" t="s">
        <v>295</v>
      </c>
      <c r="C5" s="5" t="s">
        <v>101</v>
      </c>
      <c r="D5" s="5" t="s">
        <v>381</v>
      </c>
      <c r="E5" s="25" t="s">
        <v>411</v>
      </c>
    </row>
    <row r="6" spans="2:5" ht="43" x14ac:dyDescent="0.5">
      <c r="B6" s="2" t="s">
        <v>299</v>
      </c>
      <c r="C6" s="5" t="s">
        <v>298</v>
      </c>
      <c r="D6" s="5" t="s">
        <v>382</v>
      </c>
      <c r="E6" s="25" t="s">
        <v>412</v>
      </c>
    </row>
    <row r="7" spans="2:5" ht="43" x14ac:dyDescent="0.5">
      <c r="B7" s="2" t="s">
        <v>303</v>
      </c>
      <c r="C7" s="5" t="s">
        <v>302</v>
      </c>
      <c r="D7" s="5" t="s">
        <v>382</v>
      </c>
      <c r="E7" s="25" t="s">
        <v>413</v>
      </c>
    </row>
    <row r="8" spans="2:5" ht="43" x14ac:dyDescent="0.5">
      <c r="B8" s="2" t="s">
        <v>305</v>
      </c>
      <c r="C8" s="5" t="s">
        <v>279</v>
      </c>
      <c r="D8" s="5" t="s">
        <v>379</v>
      </c>
      <c r="E8" s="25" t="s">
        <v>409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1163-1BC7-4BF8-9117-3A17CC2AED2C}">
  <dimension ref="B2:K8"/>
  <sheetViews>
    <sheetView topLeftCell="C1" workbookViewId="0">
      <selection activeCell="I20" sqref="I20"/>
    </sheetView>
  </sheetViews>
  <sheetFormatPr defaultRowHeight="14.35" x14ac:dyDescent="0.5"/>
  <cols>
    <col min="2" max="2" width="6.87890625" bestFit="1" customWidth="1"/>
    <col min="3" max="3" width="15.41015625" bestFit="1" customWidth="1"/>
    <col min="4" max="4" width="29.8203125" bestFit="1" customWidth="1"/>
    <col min="5" max="5" width="29.5859375" bestFit="1" customWidth="1"/>
    <col min="6" max="6" width="10.87890625" bestFit="1" customWidth="1"/>
    <col min="7" max="7" width="20" bestFit="1" customWidth="1"/>
    <col min="8" max="8" width="14.76171875" bestFit="1" customWidth="1"/>
    <col min="9" max="9" width="38.9375" customWidth="1"/>
    <col min="10" max="10" width="31.29296875" bestFit="1" customWidth="1"/>
    <col min="11" max="11" width="11.87890625" bestFit="1" customWidth="1"/>
    <col min="12" max="15" width="32.17578125" customWidth="1"/>
  </cols>
  <sheetData>
    <row r="2" spans="2:11" x14ac:dyDescent="0.5">
      <c r="B2" s="36" t="s">
        <v>47</v>
      </c>
      <c r="C2" s="36" t="s">
        <v>154</v>
      </c>
      <c r="D2" s="38" t="s">
        <v>401</v>
      </c>
      <c r="E2" s="38" t="s">
        <v>402</v>
      </c>
      <c r="F2" s="37" t="s">
        <v>397</v>
      </c>
      <c r="G2" s="37" t="s">
        <v>403</v>
      </c>
      <c r="H2" s="36" t="s">
        <v>404</v>
      </c>
      <c r="I2" s="7" t="s">
        <v>405</v>
      </c>
      <c r="J2" s="39" t="s">
        <v>406</v>
      </c>
      <c r="K2" s="7" t="s">
        <v>407</v>
      </c>
    </row>
    <row r="3" spans="2:11" ht="57.35" x14ac:dyDescent="0.5">
      <c r="B3" s="6" t="s">
        <v>290</v>
      </c>
      <c r="C3" s="11" t="s">
        <v>307</v>
      </c>
      <c r="D3" s="5" t="s">
        <v>259</v>
      </c>
      <c r="E3" s="5" t="s">
        <v>308</v>
      </c>
      <c r="F3" s="5">
        <v>2022</v>
      </c>
      <c r="G3" s="5" t="s">
        <v>309</v>
      </c>
      <c r="H3" s="2" t="s">
        <v>310</v>
      </c>
      <c r="I3" s="26" t="s">
        <v>428</v>
      </c>
      <c r="J3" s="26" t="s">
        <v>315</v>
      </c>
      <c r="K3" s="5">
        <v>42</v>
      </c>
    </row>
    <row r="4" spans="2:11" ht="71.7" x14ac:dyDescent="0.5">
      <c r="B4" s="6" t="s">
        <v>292</v>
      </c>
      <c r="C4" s="11" t="s">
        <v>307</v>
      </c>
      <c r="D4" s="5" t="s">
        <v>263</v>
      </c>
      <c r="E4" s="5" t="s">
        <v>316</v>
      </c>
      <c r="F4" s="5">
        <v>2011</v>
      </c>
      <c r="G4" s="5" t="s">
        <v>98</v>
      </c>
      <c r="H4" s="2" t="s">
        <v>310</v>
      </c>
      <c r="I4" s="26" t="s">
        <v>429</v>
      </c>
      <c r="J4" s="26" t="s">
        <v>321</v>
      </c>
      <c r="K4" s="5">
        <v>46</v>
      </c>
    </row>
    <row r="5" spans="2:11" ht="57.35" x14ac:dyDescent="0.5">
      <c r="B5" s="6" t="s">
        <v>295</v>
      </c>
      <c r="C5" s="11" t="s">
        <v>322</v>
      </c>
      <c r="D5" s="5" t="s">
        <v>266</v>
      </c>
      <c r="E5" s="5" t="s">
        <v>323</v>
      </c>
      <c r="F5" s="5">
        <v>2010</v>
      </c>
      <c r="G5" s="5" t="s">
        <v>100</v>
      </c>
      <c r="H5" s="2" t="s">
        <v>310</v>
      </c>
      <c r="I5" s="26" t="s">
        <v>430</v>
      </c>
      <c r="J5" s="26" t="s">
        <v>328</v>
      </c>
      <c r="K5" s="5">
        <v>84</v>
      </c>
    </row>
    <row r="6" spans="2:11" ht="57.35" x14ac:dyDescent="0.5">
      <c r="B6" s="6" t="s">
        <v>299</v>
      </c>
      <c r="C6" s="11" t="s">
        <v>307</v>
      </c>
      <c r="D6" s="5" t="s">
        <v>273</v>
      </c>
      <c r="E6" s="5" t="s">
        <v>323</v>
      </c>
      <c r="F6" s="5">
        <v>2008</v>
      </c>
      <c r="G6" s="5" t="s">
        <v>329</v>
      </c>
      <c r="H6" s="2" t="s">
        <v>310</v>
      </c>
      <c r="I6" s="26" t="s">
        <v>431</v>
      </c>
      <c r="J6" s="26" t="s">
        <v>334</v>
      </c>
      <c r="K6" s="5">
        <v>30</v>
      </c>
    </row>
    <row r="7" spans="2:11" ht="57.35" x14ac:dyDescent="0.5">
      <c r="B7" s="6" t="s">
        <v>303</v>
      </c>
      <c r="C7" s="11" t="s">
        <v>307</v>
      </c>
      <c r="D7" s="5" t="s">
        <v>276</v>
      </c>
      <c r="E7" s="5" t="s">
        <v>323</v>
      </c>
      <c r="F7" s="5">
        <v>2008</v>
      </c>
      <c r="G7" s="5" t="s">
        <v>329</v>
      </c>
      <c r="H7" s="2" t="s">
        <v>310</v>
      </c>
      <c r="I7" s="26" t="s">
        <v>432</v>
      </c>
      <c r="J7" s="26" t="s">
        <v>339</v>
      </c>
      <c r="K7" s="5">
        <v>22</v>
      </c>
    </row>
    <row r="8" spans="2:11" ht="57.35" x14ac:dyDescent="0.5">
      <c r="B8" s="6" t="s">
        <v>305</v>
      </c>
      <c r="C8" s="11" t="s">
        <v>39</v>
      </c>
      <c r="D8" s="5" t="s">
        <v>279</v>
      </c>
      <c r="E8" s="5" t="s">
        <v>323</v>
      </c>
      <c r="F8" s="5">
        <v>2008</v>
      </c>
      <c r="G8" s="5" t="s">
        <v>340</v>
      </c>
      <c r="H8" s="2" t="s">
        <v>341</v>
      </c>
      <c r="I8" s="26" t="s">
        <v>433</v>
      </c>
      <c r="J8" s="26" t="s">
        <v>346</v>
      </c>
      <c r="K8" s="34">
        <v>24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AE4D-ED6A-4119-BC87-9149A7A66EEA}">
  <dimension ref="B3:D18"/>
  <sheetViews>
    <sheetView tabSelected="1" workbookViewId="0">
      <selection activeCell="G7" sqref="G7"/>
    </sheetView>
  </sheetViews>
  <sheetFormatPr defaultRowHeight="14.35" x14ac:dyDescent="0.5"/>
  <cols>
    <col min="2" max="2" width="6.87890625" style="2" bestFit="1" customWidth="1"/>
    <col min="3" max="3" width="24.1171875" style="2" bestFit="1" customWidth="1"/>
    <col min="4" max="4" width="58.3515625" style="2" customWidth="1"/>
  </cols>
  <sheetData>
    <row r="3" spans="2:4" x14ac:dyDescent="0.5">
      <c r="B3" s="2" t="s">
        <v>47</v>
      </c>
      <c r="C3" s="2" t="s">
        <v>576</v>
      </c>
      <c r="D3" s="2" t="s">
        <v>134</v>
      </c>
    </row>
    <row r="4" spans="2:4" ht="28.7" x14ac:dyDescent="0.5">
      <c r="B4" s="2" t="s">
        <v>577</v>
      </c>
      <c r="C4" s="8" t="s">
        <v>592</v>
      </c>
      <c r="D4" s="25" t="s">
        <v>607</v>
      </c>
    </row>
    <row r="5" spans="2:4" ht="28.7" x14ac:dyDescent="0.5">
      <c r="B5" s="2" t="s">
        <v>578</v>
      </c>
      <c r="C5" s="8" t="s">
        <v>593</v>
      </c>
      <c r="D5" s="25" t="s">
        <v>608</v>
      </c>
    </row>
    <row r="6" spans="2:4" x14ac:dyDescent="0.5">
      <c r="B6" s="2" t="s">
        <v>579</v>
      </c>
      <c r="C6" s="8" t="s">
        <v>594</v>
      </c>
      <c r="D6" s="25" t="s">
        <v>609</v>
      </c>
    </row>
    <row r="7" spans="2:4" ht="28.7" x14ac:dyDescent="0.5">
      <c r="B7" s="2" t="s">
        <v>580</v>
      </c>
      <c r="C7" s="8" t="s">
        <v>595</v>
      </c>
      <c r="D7" s="25" t="s">
        <v>610</v>
      </c>
    </row>
    <row r="8" spans="2:4" ht="28.7" x14ac:dyDescent="0.5">
      <c r="B8" s="2" t="s">
        <v>581</v>
      </c>
      <c r="C8" s="8" t="s">
        <v>596</v>
      </c>
      <c r="D8" s="25" t="s">
        <v>611</v>
      </c>
    </row>
    <row r="9" spans="2:4" ht="28.7" x14ac:dyDescent="0.5">
      <c r="B9" s="2" t="s">
        <v>582</v>
      </c>
      <c r="C9" s="8" t="s">
        <v>597</v>
      </c>
      <c r="D9" s="25" t="s">
        <v>612</v>
      </c>
    </row>
    <row r="10" spans="2:4" ht="28.7" x14ac:dyDescent="0.5">
      <c r="B10" s="2" t="s">
        <v>583</v>
      </c>
      <c r="C10" s="8" t="s">
        <v>598</v>
      </c>
      <c r="D10" s="25" t="s">
        <v>613</v>
      </c>
    </row>
    <row r="11" spans="2:4" x14ac:dyDescent="0.5">
      <c r="B11" s="2" t="s">
        <v>584</v>
      </c>
      <c r="C11" s="8" t="s">
        <v>599</v>
      </c>
      <c r="D11" s="25" t="s">
        <v>614</v>
      </c>
    </row>
    <row r="12" spans="2:4" ht="28.7" x14ac:dyDescent="0.5">
      <c r="B12" s="2" t="s">
        <v>585</v>
      </c>
      <c r="C12" s="8" t="s">
        <v>600</v>
      </c>
      <c r="D12" s="25" t="s">
        <v>615</v>
      </c>
    </row>
    <row r="13" spans="2:4" x14ac:dyDescent="0.5">
      <c r="B13" s="2" t="s">
        <v>586</v>
      </c>
      <c r="C13" s="8" t="s">
        <v>601</v>
      </c>
      <c r="D13" s="25" t="s">
        <v>616</v>
      </c>
    </row>
    <row r="14" spans="2:4" x14ac:dyDescent="0.5">
      <c r="B14" s="2" t="s">
        <v>587</v>
      </c>
      <c r="C14" s="8" t="s">
        <v>602</v>
      </c>
      <c r="D14" s="25" t="s">
        <v>617</v>
      </c>
    </row>
    <row r="15" spans="2:4" x14ac:dyDescent="0.5">
      <c r="B15" s="2" t="s">
        <v>588</v>
      </c>
      <c r="C15" s="8" t="s">
        <v>603</v>
      </c>
      <c r="D15" s="25" t="s">
        <v>618</v>
      </c>
    </row>
    <row r="16" spans="2:4" ht="28.7" x14ac:dyDescent="0.5">
      <c r="B16" s="2" t="s">
        <v>589</v>
      </c>
      <c r="C16" s="8" t="s">
        <v>604</v>
      </c>
      <c r="D16" s="25" t="s">
        <v>619</v>
      </c>
    </row>
    <row r="17" spans="2:4" x14ac:dyDescent="0.5">
      <c r="B17" s="2" t="s">
        <v>590</v>
      </c>
      <c r="C17" s="8" t="s">
        <v>605</v>
      </c>
      <c r="D17" s="25" t="s">
        <v>620</v>
      </c>
    </row>
    <row r="18" spans="2:4" x14ac:dyDescent="0.5">
      <c r="B18" s="2" t="s">
        <v>591</v>
      </c>
      <c r="C18" s="8" t="s">
        <v>606</v>
      </c>
      <c r="D18" s="25" t="s">
        <v>621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5FF0-4EB5-417E-BB5D-7D3DB32E41CC}">
  <dimension ref="B2:N8"/>
  <sheetViews>
    <sheetView workbookViewId="0">
      <selection activeCell="F9" sqref="F9"/>
    </sheetView>
  </sheetViews>
  <sheetFormatPr defaultRowHeight="14.35" x14ac:dyDescent="0.5"/>
  <cols>
    <col min="2" max="2" width="6.87890625" bestFit="1" customWidth="1"/>
    <col min="3" max="4" width="29.9375" customWidth="1"/>
    <col min="5" max="5" width="18.17578125" bestFit="1" customWidth="1"/>
    <col min="6" max="7" width="18.17578125" customWidth="1"/>
    <col min="8" max="8" width="38.9375" customWidth="1"/>
    <col min="9" max="9" width="37.8203125" bestFit="1" customWidth="1"/>
    <col min="10" max="10" width="38.9375" customWidth="1"/>
    <col min="11" max="11" width="28.05859375" bestFit="1" customWidth="1"/>
    <col min="12" max="12" width="29.5859375" bestFit="1" customWidth="1"/>
    <col min="13" max="13" width="21.05859375" bestFit="1" customWidth="1"/>
    <col min="14" max="14" width="18.703125" bestFit="1" customWidth="1"/>
    <col min="15" max="16" width="90.5859375" customWidth="1"/>
  </cols>
  <sheetData>
    <row r="2" spans="2:14" x14ac:dyDescent="0.5">
      <c r="B2" s="36" t="s">
        <v>47</v>
      </c>
      <c r="C2" s="38" t="s">
        <v>401</v>
      </c>
      <c r="D2" s="38" t="s">
        <v>402</v>
      </c>
      <c r="E2" s="45" t="s">
        <v>397</v>
      </c>
      <c r="F2" s="38" t="s">
        <v>403</v>
      </c>
      <c r="G2" s="38" t="s">
        <v>404</v>
      </c>
      <c r="H2" s="7" t="s">
        <v>434</v>
      </c>
      <c r="I2" s="7" t="s">
        <v>435</v>
      </c>
      <c r="J2" s="7" t="s">
        <v>436</v>
      </c>
      <c r="K2" s="7" t="s">
        <v>437</v>
      </c>
      <c r="L2" s="39" t="s">
        <v>438</v>
      </c>
      <c r="M2" s="39" t="s">
        <v>406</v>
      </c>
      <c r="N2" s="7" t="s">
        <v>407</v>
      </c>
    </row>
    <row r="3" spans="2:14" ht="71.7" x14ac:dyDescent="0.5">
      <c r="B3" s="6" t="s">
        <v>290</v>
      </c>
      <c r="C3" s="5" t="s">
        <v>259</v>
      </c>
      <c r="D3" s="5" t="s">
        <v>308</v>
      </c>
      <c r="E3" s="46">
        <v>2022</v>
      </c>
      <c r="F3" s="5" t="s">
        <v>309</v>
      </c>
      <c r="G3" s="5" t="s">
        <v>310</v>
      </c>
      <c r="H3" s="26" t="s">
        <v>311</v>
      </c>
      <c r="I3" s="26" t="s">
        <v>422</v>
      </c>
      <c r="J3" s="26" t="s">
        <v>312</v>
      </c>
      <c r="K3" s="26" t="s">
        <v>313</v>
      </c>
      <c r="L3" s="26" t="s">
        <v>314</v>
      </c>
      <c r="M3" s="26" t="s">
        <v>315</v>
      </c>
      <c r="N3" s="5">
        <v>42</v>
      </c>
    </row>
    <row r="4" spans="2:14" ht="86" x14ac:dyDescent="0.5">
      <c r="B4" s="6" t="s">
        <v>292</v>
      </c>
      <c r="C4" s="5" t="s">
        <v>263</v>
      </c>
      <c r="D4" s="5" t="s">
        <v>316</v>
      </c>
      <c r="E4" s="46">
        <v>2011</v>
      </c>
      <c r="F4" s="5" t="s">
        <v>98</v>
      </c>
      <c r="G4" s="5" t="s">
        <v>310</v>
      </c>
      <c r="H4" s="26" t="s">
        <v>317</v>
      </c>
      <c r="I4" s="26" t="s">
        <v>423</v>
      </c>
      <c r="J4" s="26" t="s">
        <v>318</v>
      </c>
      <c r="K4" s="26" t="s">
        <v>319</v>
      </c>
      <c r="L4" s="26" t="s">
        <v>320</v>
      </c>
      <c r="M4" s="26" t="s">
        <v>321</v>
      </c>
      <c r="N4" s="5">
        <v>46</v>
      </c>
    </row>
    <row r="5" spans="2:14" ht="71.7" x14ac:dyDescent="0.5">
      <c r="B5" s="6" t="s">
        <v>295</v>
      </c>
      <c r="C5" s="5" t="s">
        <v>266</v>
      </c>
      <c r="D5" s="5" t="s">
        <v>323</v>
      </c>
      <c r="E5" s="46">
        <v>2010</v>
      </c>
      <c r="F5" s="5" t="s">
        <v>574</v>
      </c>
      <c r="G5" s="5" t="s">
        <v>310</v>
      </c>
      <c r="H5" s="26" t="s">
        <v>324</v>
      </c>
      <c r="I5" s="26" t="s">
        <v>424</v>
      </c>
      <c r="J5" s="26" t="s">
        <v>325</v>
      </c>
      <c r="K5" s="26" t="s">
        <v>326</v>
      </c>
      <c r="L5" s="26" t="s">
        <v>327</v>
      </c>
      <c r="M5" s="26" t="s">
        <v>328</v>
      </c>
      <c r="N5" s="5">
        <v>84</v>
      </c>
    </row>
    <row r="6" spans="2:14" ht="86" x14ac:dyDescent="0.5">
      <c r="B6" s="6" t="s">
        <v>299</v>
      </c>
      <c r="C6" s="5" t="s">
        <v>273</v>
      </c>
      <c r="D6" s="5" t="s">
        <v>323</v>
      </c>
      <c r="E6" s="46">
        <v>2008</v>
      </c>
      <c r="F6" s="5" t="s">
        <v>329</v>
      </c>
      <c r="G6" s="5" t="s">
        <v>310</v>
      </c>
      <c r="H6" s="26" t="s">
        <v>330</v>
      </c>
      <c r="I6" s="26" t="s">
        <v>425</v>
      </c>
      <c r="J6" s="26" t="s">
        <v>331</v>
      </c>
      <c r="K6" s="26" t="s">
        <v>332</v>
      </c>
      <c r="L6" s="26" t="s">
        <v>333</v>
      </c>
      <c r="M6" s="26" t="s">
        <v>334</v>
      </c>
      <c r="N6" s="5">
        <v>30</v>
      </c>
    </row>
    <row r="7" spans="2:14" ht="86" x14ac:dyDescent="0.5">
      <c r="B7" s="6" t="s">
        <v>303</v>
      </c>
      <c r="C7" s="5" t="s">
        <v>276</v>
      </c>
      <c r="D7" s="5" t="s">
        <v>323</v>
      </c>
      <c r="E7" s="46">
        <v>2008</v>
      </c>
      <c r="F7" s="5" t="s">
        <v>329</v>
      </c>
      <c r="G7" s="5" t="s">
        <v>310</v>
      </c>
      <c r="H7" s="26" t="s">
        <v>335</v>
      </c>
      <c r="I7" s="26" t="s">
        <v>426</v>
      </c>
      <c r="J7" s="26" t="s">
        <v>336</v>
      </c>
      <c r="K7" s="26" t="s">
        <v>337</v>
      </c>
      <c r="L7" s="26" t="s">
        <v>338</v>
      </c>
      <c r="M7" s="26" t="s">
        <v>339</v>
      </c>
      <c r="N7" s="5">
        <v>22</v>
      </c>
    </row>
    <row r="8" spans="2:14" ht="71.7" x14ac:dyDescent="0.5">
      <c r="B8" s="6" t="s">
        <v>305</v>
      </c>
      <c r="C8" s="5" t="s">
        <v>279</v>
      </c>
      <c r="D8" s="5" t="s">
        <v>323</v>
      </c>
      <c r="E8" s="46">
        <v>2008</v>
      </c>
      <c r="F8" s="5" t="s">
        <v>575</v>
      </c>
      <c r="G8" s="5" t="s">
        <v>341</v>
      </c>
      <c r="H8" s="26" t="s">
        <v>342</v>
      </c>
      <c r="I8" s="26" t="s">
        <v>427</v>
      </c>
      <c r="J8" s="26" t="s">
        <v>343</v>
      </c>
      <c r="K8" s="26" t="s">
        <v>344</v>
      </c>
      <c r="L8" s="26" t="s">
        <v>345</v>
      </c>
      <c r="M8" s="26" t="s">
        <v>346</v>
      </c>
      <c r="N8" s="34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01 - Taylor C&amp;C Taxonomy</vt:lpstr>
      <vt:lpstr>Excel2LaTeX</vt:lpstr>
      <vt:lpstr>03A - Tasks</vt:lpstr>
      <vt:lpstr>03B - Decisions</vt:lpstr>
      <vt:lpstr>03C - SLR Data Objects</vt:lpstr>
      <vt:lpstr>03D - Sources</vt:lpstr>
      <vt:lpstr>03E - Search String</vt:lpstr>
      <vt:lpstr>03F - Research Questions</vt:lpstr>
      <vt:lpstr>03G - PICO strategy</vt:lpstr>
      <vt:lpstr>03H - IC &amp; EC</vt:lpstr>
      <vt:lpstr>03I - SD &amp; SMD</vt:lpstr>
      <vt:lpstr>03J - Map Categories</vt:lpstr>
      <vt:lpstr>03K - Quaity Features</vt:lpstr>
      <vt:lpstr>04A - Query Stats</vt:lpstr>
      <vt:lpstr>04B - Filter Count</vt:lpstr>
      <vt:lpstr>04C - PS QF Score</vt:lpstr>
      <vt:lpstr>04D - PS Profile</vt:lpstr>
      <vt:lpstr>04E - PS Topics</vt:lpstr>
      <vt:lpstr>04F - PS Categories</vt:lpstr>
      <vt:lpstr>04G - PS Summary</vt:lpstr>
      <vt:lpstr>06A - Insights</vt:lpstr>
      <vt:lpstr>09A+04H - PS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Santiago Felipe Arteaga Martin</cp:lastModifiedBy>
  <dcterms:created xsi:type="dcterms:W3CDTF">2024-03-11T23:56:43Z</dcterms:created>
  <dcterms:modified xsi:type="dcterms:W3CDTF">2025-12-17T01:14:36Z</dcterms:modified>
</cp:coreProperties>
</file>